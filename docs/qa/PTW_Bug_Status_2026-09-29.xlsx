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onsolidated Bugs" sheetId="2" state="visible" r:id="rId4"/>
    <sheet name="Deployment notes" sheetId="3" state="visible" r:id="rId5"/>
  </sheets>
  <definedNames>
    <definedName function="false" hidden="true" localSheetId="1" name="_xlnm._FilterDatabase" vbProcedure="false">'Consolidated Bugs'!$A$1:$N$101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<sst xmlns="http://schemas.openxmlformats.org/spreadsheetml/2006/main" count="959" uniqueCount="496">
  <si>
    <t xml:space="preserve">PTW bug lists – consolidated status</t>
  </si>
  <si>
    <t xml:space="preserve">Build: dev_ram 59e0ccb, deployed to http://200.234.45.51 on 29 Sep 2026; automated checks run against the dev server.</t>
  </si>
  <si>
    <t xml:space="preserve">Items in all three lists</t>
  </si>
  <si>
    <t xml:space="preserve">20 from “ptw issues 3rd deployment.pdf” (D3-xx) + 70 “Open Issues” from the dev_vinesh workbook (OI-xx, numbered top to bottom) + 10 from “ptw new issue.pdf” (NI-xx)</t>
  </si>
  <si>
    <t xml:space="preserve">  from 3rd deployment PDF</t>
  </si>
  <si>
    <t xml:space="preserve">  from dev_vinesh open issues</t>
  </si>
  <si>
    <t xml:space="preserve">  from new issues report</t>
  </si>
  <si>
    <t xml:space="preserve">Resolution</t>
  </si>
  <si>
    <t xml:space="preserve">Fixed</t>
  </si>
  <si>
    <t xml:space="preserve">Code changed in this round</t>
  </si>
  <si>
    <t xml:space="preserve">Duplicate of another item</t>
  </si>
  <si>
    <t xml:space="preserve">Status follows the item named in column H</t>
  </si>
  <si>
    <t xml:space="preserve">Already fixed in current build</t>
  </si>
  <si>
    <t xml:space="preserve">By design</t>
  </si>
  <si>
    <t xml:space="preserve">Explained in column J</t>
  </si>
  <si>
    <t xml:space="preserve">Not reproduced (no change)</t>
  </si>
  <si>
    <t xml:space="preserve">Please retest; give steps if it still happens</t>
  </si>
  <si>
    <t xml:space="preserve">Hardened / configuration</t>
  </si>
  <si>
    <t xml:space="preserve">Changed behaviour (please confirm)</t>
  </si>
  <si>
    <t xml:space="preserve">Open – needs clarification</t>
  </si>
  <si>
    <t xml:space="preserve">Check</t>
  </si>
  <si>
    <t xml:space="preserve">Must be 0</t>
  </si>
  <si>
    <t xml:space="preserve">Test status</t>
  </si>
  <si>
    <t xml:space="preserve">Passed automated UI test</t>
  </si>
  <si>
    <t xml:space="preserve">Playwright against the dev server (19 checks incl. plain-HTTP copy and notification link, all passed)</t>
  </si>
  <si>
    <t xml:space="preserve">Passed automated API test</t>
  </si>
  <si>
    <t xml:space="preserve">API checks against the dev server (7 checks, all passed)</t>
  </si>
  <si>
    <t xml:space="preserve">Passed unit test</t>
  </si>
  <si>
    <t xml:space="preserve">Needs retest on dev server</t>
  </si>
  <si>
    <t xml:space="preserve">Mostly issues that only occur over plain HTTP or need real time to pass</t>
  </si>
  <si>
    <t xml:space="preserve">Tester retest results</t>
  </si>
  <si>
    <t xml:space="preserve">Pass</t>
  </si>
  <si>
    <t xml:space="preserve">Fill column M on the Consolidated Bugs sheet</t>
  </si>
  <si>
    <t xml:space="preserve">Fail</t>
  </si>
  <si>
    <t xml:space="preserve">Not yet retested</t>
  </si>
  <si>
    <t xml:space="preserve">How to use</t>
  </si>
  <si>
    <t xml:space="preserve">On “Consolidated Bugs”, record your retest in column M (Pass / Fail / Blocked / Not retested) and notes in column N (yellow cells). One row per reported item; duplicates point to the main item in column H.</t>
  </si>
  <si>
    <t xml:space="preserve">Items marked “retest on dev server” must be checked on http://200.234.45.51 after the next deployment, not on localhost: several causes only appear on plain HTTP.</t>
  </si>
  <si>
    <t xml:space="preserve">Migrations 0047 and 0048 are applied on the dev server.</t>
  </si>
  <si>
    <t xml:space="preserve">Example: row OI-15 → retest by adding an employee with +91 and a 10-digit number → put “Pass” in M.</t>
  </si>
  <si>
    <t xml:space="preserve">NI-xx rows (new issues report, 29 Sep afternoon): fixed and tested locally, not yet deployed. Retest them on https://permitwiseai.cloud after the next deployment.</t>
  </si>
  <si>
    <t xml:space="preserve">#</t>
  </si>
  <si>
    <t xml:space="preserve">Source</t>
  </si>
  <si>
    <t xml:space="preserve">Bug ID</t>
  </si>
  <si>
    <t xml:space="preserve">Module</t>
  </si>
  <si>
    <t xml:space="preserve">Bug / issue (as reported)</t>
  </si>
  <si>
    <t xml:space="preserve">Priority</t>
  </si>
  <si>
    <t xml:space="preserve">Relevant in current build?</t>
  </si>
  <si>
    <t xml:space="preserve">Duplicate of / see also</t>
  </si>
  <si>
    <t xml:space="preserve">Action taken</t>
  </si>
  <si>
    <t xml:space="preserve">Retest notes / comments</t>
  </si>
  <si>
    <t xml:space="preserve">Tester result</t>
  </si>
  <si>
    <t xml:space="preserve">Tester comments</t>
  </si>
  <si>
    <t xml:space="preserve">3rd deployment (PDF)</t>
  </si>
  <si>
    <t xml:space="preserve">D3-01</t>
  </si>
  <si>
    <t xml:space="preserve">Request Access</t>
  </si>
  <si>
    <t xml:space="preserve">Request Access cannot be submitted. Warning shows: "We couldn't reach the server. Check your connection and send the form again."</t>
  </si>
  <si>
    <t xml:space="preserve">P1</t>
  </si>
  <si>
    <t xml:space="preserve">Environment</t>
  </si>
  <si>
    <t xml:space="preserve">Config / hardened</t>
  </si>
  <si>
    <t xml:space="preserve">Form and API work on http://200.234.45.51 (preflight and submit checked). The server only accepts calls from that exact address, so opening the site by any hostname fails with this message. Errors now show the server status instead of a generic network message.</t>
  </si>
  <si>
    <t xml:space="preserve">Pass – checked on dev server (API)</t>
  </si>
  <si>
    <t xml:space="preserve">Open the site only at http://200.234.45.51 until a domain with HTTPS is set up; then add that domain to CORS_ORIGIN.</t>
  </si>
  <si>
    <t xml:space="preserve">D3-02</t>
  </si>
  <si>
    <t xml:space="preserve">LOTO</t>
  </si>
  <si>
    <t xml:space="preserve">File/evidence cannot be uploaded in the Lockout/Tagout field.</t>
  </si>
  <si>
    <t xml:space="preserve">Yes</t>
  </si>
  <si>
    <t xml:space="preserve">Root cause: file links pointed at the internal storage host (minio:9000), unreachable from browsers. Storage links now use the public address (MINIO_PUBLIC_URL) and Caddy forwards /ptw-documents/* to storage.</t>
  </si>
  <si>
    <t xml:space="preserve">Fixed – retest on dev server</t>
  </si>
  <si>
    <t xml:space="preserve">Same mechanism verified for incident evidence and profile pictures. Retest LOTOTO execution upload on the dev server.</t>
  </si>
  <si>
    <t xml:space="preserve">D3-03</t>
  </si>
  <si>
    <t xml:space="preserve">Permit Templates</t>
  </si>
  <si>
    <t xml:space="preserve">Add Section is not working when creating/editing a permit template.</t>
  </si>
  <si>
    <t xml:space="preserve">Root cause: the dev server is plain HTTP, where browsers disable crypto.randomUUID; new section/field ids used it. Replaced with an id generator that works on HTTP.</t>
  </si>
  <si>
    <t xml:space="preserve">Pass – automated UI test (dev server)</t>
  </si>
  <si>
    <t xml:space="preserve">Must be retested on the dev server (HTTP) – localhost is treated as secure.</t>
  </si>
  <si>
    <t xml:space="preserve">D3-04</t>
  </si>
  <si>
    <t xml:space="preserve">Permit Creation</t>
  </si>
  <si>
    <t xml:space="preserve">Machinery does not appear in the dropdown initially. It appears only after refreshing the application.</t>
  </si>
  <si>
    <t xml:space="preserve">Not reproduced</t>
  </si>
  <si>
    <t xml:space="preserve">Hardened</t>
  </si>
  <si>
    <t xml:space="preserve">Machinery is loaded fresh each time the wizard opens. The wizard no longer reloads itself after the first save (see D3-20), which was a likely source of stale lists.</t>
  </si>
  <si>
    <t xml:space="preserve">Retest on dev server</t>
  </si>
  <si>
    <t xml:space="preserve">Add a machine, then open Create permit without refreshing.</t>
  </si>
  <si>
    <t xml:space="preserve">D3-05</t>
  </si>
  <si>
    <t xml:space="preserve">Incident Management</t>
  </si>
  <si>
    <t xml:space="preserve">Chat Admin cannot report an incident. Warning shows: "Validation failed, UUID expired."</t>
  </si>
  <si>
    <t xml:space="preserve">Root cause: after reporting, the app opened /incidents/undefined and the server replied 'Validation failed (uuid is expected)', read as 'UUID expired'. Report now opens the new record.</t>
  </si>
  <si>
    <t xml:space="preserve">D3-06</t>
  </si>
  <si>
    <t xml:space="preserve">Permit Permissions</t>
  </si>
  <si>
    <t xml:space="preserve">Org Admin can perform multiple permit actions (fill details, submit, approve, start work). Configured role/workflow permissions need to be verified.</t>
  </si>
  <si>
    <t xml:space="preserve">P0</t>
  </si>
  <si>
    <t xml:space="preserve">Separation of duties added: the person who submitted a permit can no longer approve it (server check), and their own submissions no longer appear in their approval queue. Org Admin keeps broad rights by design.</t>
  </si>
  <si>
    <t xml:space="preserve">Pass – unit test</t>
  </si>
  <si>
    <t xml:space="preserve">Retest: Org Admin submits a permit, then tries to approve it – refused with a clear message.</t>
  </si>
  <si>
    <t xml:space="preserve">D3-07</t>
  </si>
  <si>
    <t xml:space="preserve">Notifications</t>
  </si>
  <si>
    <t xml:space="preserve">Permit approval notification appears in Messages, but clicking it does not open the specific permit; it opens/shows all permits.</t>
  </si>
  <si>
    <t xml:space="preserve">Root cause: messages with the same wording about different permits were merged, and a merged entry linked to the permit list. Messages now merge only when they are about the same record, so each opens its own permit.</t>
  </si>
  <si>
    <t xml:space="preserve">D3-08</t>
  </si>
  <si>
    <t xml:space="preserve">Permit Creation – LOTO</t>
  </si>
  <si>
    <t xml:space="preserve">Add Lockout/Tagout is not working while creating a permit.</t>
  </si>
  <si>
    <t xml:space="preserve">'Add LOTOTO' stays unavailable until the chosen machine has a LOTOTO plan. The hint now links to create a plan for that machine (opens in a new tab) and a 'refresh the list' action; LOTOTO rows can be removed.</t>
  </si>
  <si>
    <t xml:space="preserve">Retest with a machine that has an approved LOTOTO plan and one that has none.</t>
  </si>
  <si>
    <t xml:space="preserve">D3-09</t>
  </si>
  <si>
    <t xml:space="preserve">Permit Closure – Evidence</t>
  </si>
  <si>
    <t xml:space="preserve">After adding evidence during permit closure, "Authentication required" is displayed.</t>
  </si>
  <si>
    <t xml:space="preserve">Root cause: file uploads skipped the sign-in refresh, so after the 5-minute session token expired they failed with 'Authentication required'. All uploads now refresh the session like other requests.</t>
  </si>
  <si>
    <t xml:space="preserve">Retest: stay on the closure page for more than 5 minutes, then add evidence.</t>
  </si>
  <si>
    <t xml:space="preserve">D3-10</t>
  </si>
  <si>
    <t xml:space="preserve">Profile</t>
  </si>
  <si>
    <t xml:space="preserve">Profile picture cannot be removed, and the selected profile picture does not display.</t>
  </si>
  <si>
    <t xml:space="preserve">P2</t>
  </si>
  <si>
    <t xml:space="preserve">OI-47, OI-48</t>
  </si>
  <si>
    <t xml:space="preserve">Added 'Remove picture' (server and settings page). Picture display fixed by the storage-link fix (D3-02).</t>
  </si>
  <si>
    <t xml:space="preserve">Pass – automated API test (dev server)</t>
  </si>
  <si>
    <t xml:space="preserve">D3-11</t>
  </si>
  <si>
    <t xml:space="preserve">Evidence</t>
  </si>
  <si>
    <t xml:space="preserve">Uploaded evidence cannot be opened/viewed.</t>
  </si>
  <si>
    <t xml:space="preserve">OI-08, OI-67</t>
  </si>
  <si>
    <t xml:space="preserve">Storage-link fix (D3-02). Incident evidence now lists files that open on click (new download link endpoint).</t>
  </si>
  <si>
    <t xml:space="preserve">D3-12</t>
  </si>
  <si>
    <t xml:space="preserve">HOD Notification</t>
  </si>
  <si>
    <t xml:space="preserve">HOD does not receive a notification when the Job Issuer submits a permit and HOD approval is the next step.</t>
  </si>
  <si>
    <t xml:space="preserve">OI-32, OI-64</t>
  </si>
  <si>
    <t xml:space="preserve">Nothing notified approvers on submit. Now, on submit, resubmit and each approval stage, the people holding the next approver role (HOD scoped to their department) get 'Permit waiting for your approval', linking to the permit.</t>
  </si>
  <si>
    <t xml:space="preserve">D3-13</t>
  </si>
  <si>
    <t xml:space="preserve">User &amp; Roles</t>
  </si>
  <si>
    <t xml:space="preserve">Temporary Password – Copy button is not working.</t>
  </si>
  <si>
    <t xml:space="preserve">OI-39, OI-40</t>
  </si>
  <si>
    <t xml:space="preserve">Root cause: the browser clipboard API is disabled on plain-HTTP sites. Copy now falls back to a method that works on HTTP and shows 'Temporary password copied'. Copy also added where workforce logins are created.</t>
  </si>
  <si>
    <t xml:space="preserve">Pass – automated UI test (dev server, plain HTTP)</t>
  </si>
  <si>
    <t xml:space="preserve">Must be retested on the dev server (HTTP).</t>
  </si>
  <si>
    <t xml:space="preserve">D3-14</t>
  </si>
  <si>
    <t xml:space="preserve">Download</t>
  </si>
  <si>
    <t xml:space="preserve">A Download option is required/available for downloading the details; expected behaviour should be verified.</t>
  </si>
  <si>
    <t xml:space="preserve">Reports are shown on screen (per product decision). Permits print or save as PDF from 'Print this permit'. Evidence files open/download from the record.</t>
  </si>
  <si>
    <t xml:space="preserve">n/a</t>
  </si>
  <si>
    <t xml:space="preserve">Tell us which specific download is still needed, if any.</t>
  </si>
  <si>
    <t xml:space="preserve">D3-15</t>
  </si>
  <si>
    <t xml:space="preserve">Incident – Root Cause</t>
  </si>
  <si>
    <t xml:space="preserve">Clicking Record Root Cause for an unsafe incident does not open the expected popup/form.</t>
  </si>
  <si>
    <t xml:space="preserve">OI-33</t>
  </si>
  <si>
    <t xml:space="preserve">Investigation panel rebuilt: root cause form is visible once an investigator is assigned, recorded root causes are listed, each step confirms with a message.</t>
  </si>
  <si>
    <t xml:space="preserve">D3-16</t>
  </si>
  <si>
    <t xml:space="preserve">Incident – Corrective Action</t>
  </si>
  <si>
    <t xml:space="preserve">Clicking Corrective Action does not open the expected popup/form.</t>
  </si>
  <si>
    <t xml:space="preserve">OI-34</t>
  </si>
  <si>
    <t xml:space="preserve">Corrective action form with owner and due date; added actions are listed with status, 'Mark complete' and 'Cancel action', and a confirmation message.</t>
  </si>
  <si>
    <t xml:space="preserve">D3-17</t>
  </si>
  <si>
    <t xml:space="preserve">Incident – Assign</t>
  </si>
  <si>
    <t xml:space="preserve">In Manager Incidents, clicking Assign results in "Unable to load page."</t>
  </si>
  <si>
    <t xml:space="preserve">The separate manager page is gone; investigators are assigned on the incident page itself. People listed are sign-in accounts so the investigator sees the task.</t>
  </si>
  <si>
    <t xml:space="preserve">D3-18</t>
  </si>
  <si>
    <t xml:space="preserve">Permit Creation – Back</t>
  </si>
  <si>
    <t xml:space="preserve">There is no Back button while creating a permit.</t>
  </si>
  <si>
    <t xml:space="preserve">Create/Edit permit now has the standard back link (to Permits, or to the permit when editing).</t>
  </si>
  <si>
    <t xml:space="preserve">D3-19</t>
  </si>
  <si>
    <t xml:space="preserve">Permit Page – Back</t>
  </si>
  <si>
    <t xml:space="preserve">The Permit page does not have a Back button.</t>
  </si>
  <si>
    <t xml:space="preserve">Partly</t>
  </si>
  <si>
    <t xml:space="preserve">Permits is a top-level menu page (no parent to go back to). Every page below it (permit details, edit, journey) has the back link.</t>
  </si>
  <si>
    <t xml:space="preserve">D3-20</t>
  </si>
  <si>
    <t xml:space="preserve">Permit Creation – Next</t>
  </si>
  <si>
    <t xml:space="preserve">After entering Basic Information, the Next button does not respond on the first click; user has to click again.</t>
  </si>
  <si>
    <t xml:space="preserve">Root cause: the first Next saved the draft and navigated to the edit page, reloading the wizard on step 1. The address now updates without reloading, so Next moves on first click.</t>
  </si>
  <si>
    <t xml:space="preserve">dev_vinesh open issues (xlsx)</t>
  </si>
  <si>
    <t xml:space="preserve">OI-01</t>
  </si>
  <si>
    <t xml:space="preserve">Organization Management</t>
  </si>
  <si>
    <t xml:space="preserve">Description accepts unrestricted special characters and links.</t>
  </si>
  <si>
    <t xml:space="preserve">Descriptions must be written in words and cannot contain links (server check on organisation records; error shown on the form).</t>
  </si>
  <si>
    <t xml:space="preserve">Fixed – code review; retest</t>
  </si>
  <si>
    <t xml:space="preserve">OI-02</t>
  </si>
  <si>
    <t xml:space="preserve">Workstation Management</t>
  </si>
  <si>
    <t xml:space="preserve">Workstation creation displays property locationID should not exist.</t>
  </si>
  <si>
    <t xml:space="preserve">Already fixed</t>
  </si>
  <si>
    <t xml:space="preserve">Workstation create accepts a location in the current build.</t>
  </si>
  <si>
    <t xml:space="preserve">Retest</t>
  </si>
  <si>
    <t xml:space="preserve">OI-03</t>
  </si>
  <si>
    <t xml:space="preserve">Workflow Management – Archive</t>
  </si>
  <si>
    <t xml:space="preserve">No option/location to view archived workflows.</t>
  </si>
  <si>
    <t xml:space="preserve">Active / Archived toggle on Workflows (also Plants, Departments, Locations) lists archived records with the archive date.</t>
  </si>
  <si>
    <t xml:space="preserve">Pass – automated UI test (dev server) (Locations; same component)</t>
  </si>
  <si>
    <t xml:space="preserve">OI-04</t>
  </si>
  <si>
    <t xml:space="preserve">Isolation Point Created</t>
  </si>
  <si>
    <t xml:space="preserve">Isolation Point cannot be deleted.</t>
  </si>
  <si>
    <t xml:space="preserve">Isolation points can be deleted while the LOTOTO plan is still being set up (Delete next to each point). Points used in an isolation stay for the record.</t>
  </si>
  <si>
    <t xml:space="preserve">OI-05</t>
  </si>
  <si>
    <t xml:space="preserve">Certificate Management – Date</t>
  </si>
  <si>
    <t xml:space="preserve">Certificate Date accepts characters even though format is displayed as YYYY-MM-DD.</t>
  </si>
  <si>
    <t xml:space="preserve">OI-56</t>
  </si>
  <si>
    <t xml:space="preserve">Certificate dates use a date picker; the server rejects anything that is not a date.</t>
  </si>
  <si>
    <t xml:space="preserve">OI-06</t>
  </si>
  <si>
    <t xml:space="preserve">Certificate Management – Edit/Delete/View</t>
  </si>
  <si>
    <t xml:space="preserve">Edit/Delete/View options are missing for created certificates.</t>
  </si>
  <si>
    <t xml:space="preserve">OI-17, OI-54</t>
  </si>
  <si>
    <t xml:space="preserve">Certificates now have Edit and Delete; details show in the list columns.</t>
  </si>
  <si>
    <t xml:space="preserve">OI-07</t>
  </si>
  <si>
    <t xml:space="preserve">Organization Management – Platform Admin</t>
  </si>
  <si>
    <t xml:space="preserve">Create New Organization option is not available for Platform Admin.</t>
  </si>
  <si>
    <t xml:space="preserve">Platform Admin creates organisations from Administration › Tenants ('Invite organisation owner').</t>
  </si>
  <si>
    <t xml:space="preserve">OI-08</t>
  </si>
  <si>
    <t xml:space="preserve">Evidence Management</t>
  </si>
  <si>
    <t xml:space="preserve">Uploaded/created evidence cannot be opened or viewed.</t>
  </si>
  <si>
    <t xml:space="preserve">Duplicate</t>
  </si>
  <si>
    <t xml:space="preserve">See D3-11.</t>
  </si>
  <si>
    <t xml:space="preserve">OI-09</t>
  </si>
  <si>
    <t xml:space="preserve">Permit Creation – Hazard/PPE/Executor</t>
  </si>
  <si>
    <t xml:space="preserve">After adding Hazard, PPE, or Executor, there is no Delete/Remove option.</t>
  </si>
  <si>
    <t xml:space="preserve">Remove buttons added for hazards, PPE, executors, safety officers, viewers, LOTOTO and gas-test rows.</t>
  </si>
  <si>
    <t xml:space="preserve">OI-10</t>
  </si>
  <si>
    <t xml:space="preserve">Incidents – Archive</t>
  </si>
  <si>
    <t xml:space="preserve">Archive option is available to view archived incidents, but there is no option to archive a created incident.</t>
  </si>
  <si>
    <t xml:space="preserve">Closing an incident archives it; closed incidents are under Incidents › Closed. The closed page now says so.</t>
  </si>
  <si>
    <t xml:space="preserve">OI-11</t>
  </si>
  <si>
    <t xml:space="preserve">LOTO – Evidence Upload</t>
  </si>
  <si>
    <t xml:space="preserve">Evidence cannot be uploaded; the system shows “Failed to upload” when attempting to upload evidence.</t>
  </si>
  <si>
    <t xml:space="preserve">See D3-02.</t>
  </si>
  <si>
    <t xml:space="preserve">OI-12</t>
  </si>
  <si>
    <t xml:space="preserve">Opening a notification automatically marks it as Read.</t>
  </si>
  <si>
    <t xml:space="preserve">No change</t>
  </si>
  <si>
    <t xml:space="preserve">In the current build a notification is marked read only with 'Mark read'; opening it does not.</t>
  </si>
  <si>
    <t xml:space="preserve">OI-13</t>
  </si>
  <si>
    <t xml:space="preserve">Platform Admin – Permit Creation</t>
  </si>
  <si>
    <t xml:space="preserve">Platform Admin has a Create Permit option, but after entering Basic Information and clicking Next, the system shows Access Denied.</t>
  </si>
  <si>
    <t xml:space="preserve">Platform Admin belongs to no organisation, so permits were refused. 'Create permit' is no longer offered to Platform Admin.</t>
  </si>
  <si>
    <t xml:space="preserve">OI-14</t>
  </si>
  <si>
    <t xml:space="preserve">Contractor Management – Name</t>
  </si>
  <si>
    <t xml:space="preserve">Contractor Name field has no restriction on valid name input.</t>
  </si>
  <si>
    <t xml:space="preserve">OI-22, OI-41, OI-55, OI-58</t>
  </si>
  <si>
    <t xml:space="preserve">Names must contain letters (numbers alone refused) – on the form and on the server.</t>
  </si>
  <si>
    <t xml:space="preserve">Pass – automated UI test (dev server); Pass – automated API test (dev server)</t>
  </si>
  <si>
    <t xml:space="preserve">OI-15</t>
  </si>
  <si>
    <t xml:space="preserve">Employee/Contractor/Agency Management – Phone</t>
  </si>
  <si>
    <t xml:space="preserve">Phone number should be restricted to 10 digits and a predefined country code should be provided.</t>
  </si>
  <si>
    <t xml:space="preserve">OI-46</t>
  </si>
  <si>
    <t xml:space="preserve">Phone: country code dropdown (India +91 first) plus a digits-only number of the right length (10 for +91). Server checks the format.</t>
  </si>
  <si>
    <t xml:space="preserve">OI-16</t>
  </si>
  <si>
    <t xml:space="preserve">Workforce Directory</t>
  </si>
  <si>
    <t xml:space="preserve">Delete option is not available for workforce directory records.</t>
  </si>
  <si>
    <t xml:space="preserve">The directory combines employees and contractors; deleting is done on Employees / Contractors (Delete button). Directory rows link to those pages.</t>
  </si>
  <si>
    <t xml:space="preserve">OI-17</t>
  </si>
  <si>
    <t xml:space="preserve">Certificate Management</t>
  </si>
  <si>
    <t xml:space="preserve">Created certificate cannot be opened/viewed.</t>
  </si>
  <si>
    <t xml:space="preserve">See OI-06.</t>
  </si>
  <si>
    <t xml:space="preserve">OI-18</t>
  </si>
  <si>
    <t xml:space="preserve">User Role Management</t>
  </si>
  <si>
    <t xml:space="preserve">No notification is sent after assigning a User Role.</t>
  </si>
  <si>
    <t xml:space="preserve">Changing a user's role sends them an in-app message 'Your role is now …'. Also fixed: users created in the app lost their organisation in Keycloak, so their role could not be changed ('User is not in this tenant'); existing users repaired on start-up.</t>
  </si>
  <si>
    <t xml:space="preserve">OI-19</t>
  </si>
  <si>
    <t xml:space="preserve">Phone number is not displayed in the Workforce Directory list.</t>
  </si>
  <si>
    <t xml:space="preserve">Phone column added to employee/agency lists (and directory).</t>
  </si>
  <si>
    <t xml:space="preserve">OI-20</t>
  </si>
  <si>
    <t xml:space="preserve">Competencies – Certificate</t>
  </si>
  <si>
    <t xml:space="preserve">Certificate is not displayed when selecting/opening a competency.</t>
  </si>
  <si>
    <t xml:space="preserve">Competencies show the linked certificate in the form and list.</t>
  </si>
  <si>
    <t xml:space="preserve">OI-21</t>
  </si>
  <si>
    <t xml:space="preserve">Certificate Management – Start Date</t>
  </si>
  <si>
    <t xml:space="preserve">Certificate has an Expiry Date but no Start Date field.</t>
  </si>
  <si>
    <t xml:space="preserve">'Valid from' (start date) added to certificates; expiry cannot be before it. Needs database migration 0047.</t>
  </si>
  <si>
    <t xml:space="preserve">OI-22</t>
  </si>
  <si>
    <t xml:space="preserve">Competencies – Name/Description</t>
  </si>
  <si>
    <t xml:space="preserve">Name and Description fields do not enforce character restrictions and accept numerical-only input.</t>
  </si>
  <si>
    <t xml:space="preserve">Name rule as OI-14; description must be words without links.</t>
  </si>
  <si>
    <t xml:space="preserve">OI-23</t>
  </si>
  <si>
    <t xml:space="preserve">Competencies – Validation</t>
  </si>
  <si>
    <t xml:space="preserve">Incorrect warning is displayed when Workforce Member is not selected.</t>
  </si>
  <si>
    <t xml:space="preserve">Root cause: an empty member was sent as '' and rejected as an invalid id. Empty fields are now left out; the browser shows its normal 'select an item' prompt when the member is required.</t>
  </si>
  <si>
    <t xml:space="preserve">OI-24</t>
  </si>
  <si>
    <t xml:space="preserve">Workforce Management</t>
  </si>
  <si>
    <t xml:space="preserve">Competency records do not have a Delete option; only Archive is available.</t>
  </si>
  <si>
    <t xml:space="preserve">Competencies now have Delete (and Edit).</t>
  </si>
  <si>
    <t xml:space="preserve">Pass – automated UI test (dev server) (same component as certificates)</t>
  </si>
  <si>
    <t xml:space="preserve">OI-25</t>
  </si>
  <si>
    <t xml:space="preserve">Billing</t>
  </si>
  <si>
    <t xml:space="preserve">Quantity field allows the record to be saved without entering a value; Quantity should be mandatory and validated before saving.</t>
  </si>
  <si>
    <t xml:space="preserve">OI-49</t>
  </si>
  <si>
    <t xml:space="preserve">Quantity starts empty and is required; server refuses a missing quantity.</t>
  </si>
  <si>
    <t xml:space="preserve">OI-26</t>
  </si>
  <si>
    <t xml:space="preserve">Billing – Permit Metrics</t>
  </si>
  <si>
    <t xml:space="preserve">Duplicate Active Permit metrics are displayed with unclear meaning.</t>
  </si>
  <si>
    <t xml:space="preserve">OI-50</t>
  </si>
  <si>
    <t xml:space="preserve">Usage shows one card per metric (latest period) with earlier periods listed underneath.</t>
  </si>
  <si>
    <t xml:space="preserve">OI-27</t>
  </si>
  <si>
    <t xml:space="preserve">Billing / Subscription</t>
  </si>
  <si>
    <t xml:space="preserve">Usage information is displayed even though there is no active subscription.</t>
  </si>
  <si>
    <t xml:space="preserve">OI-51</t>
  </si>
  <si>
    <t xml:space="preserve">Usage is hidden without a subscription and the server refuses to record it ('Choose a subscription plan before recording usage').</t>
  </si>
  <si>
    <t xml:space="preserve">OI-28</t>
  </si>
  <si>
    <t xml:space="preserve">Subscription Management</t>
  </si>
  <si>
    <t xml:space="preserve">Application displays “Choose Plan”, but underneath it shows “No active plans available”.</t>
  </si>
  <si>
    <t xml:space="preserve">With no published plans the page shows 'No subscription yet – contact the platform administrator' instead of 'Choose a plan' + 'No active plans'.</t>
  </si>
  <si>
    <t xml:space="preserve">OI-29</t>
  </si>
  <si>
    <t xml:space="preserve">Back button is missing in the Incident module.</t>
  </si>
  <si>
    <t xml:space="preserve">Incidents is a top-level menu page; incident details and reporting have the back link.</t>
  </si>
  <si>
    <t xml:space="preserve">OI-30</t>
  </si>
  <si>
    <t xml:space="preserve">After creating an incident, the system displays “Validation failed – UUID is expired”.</t>
  </si>
  <si>
    <t xml:space="preserve">See D3-05.</t>
  </si>
  <si>
    <t xml:space="preserve">OI-31</t>
  </si>
  <si>
    <t xml:space="preserve">Permit can be submitted without selecting a Department and PPE item.</t>
  </si>
  <si>
    <t xml:space="preserve">Department is now required (form and server). PPE was already required.</t>
  </si>
  <si>
    <t xml:space="preserve">OI-32</t>
  </si>
  <si>
    <t xml:space="preserve">Permit Approval – HOD Notification</t>
  </si>
  <si>
    <t xml:space="preserve">HOD does not receive a notification when a permit requires HOD approval.</t>
  </si>
  <si>
    <t xml:space="preserve">See D3-12.</t>
  </si>
  <si>
    <t xml:space="preserve">After clicking Root Cause, the expected Create/Add popup does not appear.</t>
  </si>
  <si>
    <t xml:space="preserve">See D3-15.</t>
  </si>
  <si>
    <t xml:space="preserve">After adding a Corrective Action, there is no popup/confirmation indicating that the action was added.</t>
  </si>
  <si>
    <t xml:space="preserve">See D3-16.</t>
  </si>
  <si>
    <t xml:space="preserve">OI-35</t>
  </si>
  <si>
    <t xml:space="preserve">Incident – Preventive Action</t>
  </si>
  <si>
    <t xml:space="preserve">Preventive Action does not provide the expected option to add/manage the action.</t>
  </si>
  <si>
    <t xml:space="preserve">Preventive actions: form with owner and optional due date; added actions listed with status.</t>
  </si>
  <si>
    <t xml:space="preserve">OI-36</t>
  </si>
  <si>
    <t xml:space="preserve">Incident – Action History</t>
  </si>
  <si>
    <t xml:space="preserve">No Delete option is available for action history after creating Root Cause, Corrective Action, or Preventive Action where deletion is permitted.</t>
  </si>
  <si>
    <t xml:space="preserve">Changed</t>
  </si>
  <si>
    <t xml:space="preserve">Investigation records are kept for audit, so actions are cancelled rather than deleted ('Cancel action' – stays visible as Cancelled).</t>
  </si>
  <si>
    <t xml:space="preserve">Confirm with safety lead that cancel (not delete) is acceptable.</t>
  </si>
  <si>
    <t xml:space="preserve">OI-37</t>
  </si>
  <si>
    <t xml:space="preserve">Incident – HOD Decision</t>
  </si>
  <si>
    <t xml:space="preserve">Incident shows Pending HOD Decision, but HOD does not have an option/interface to provide the decision.</t>
  </si>
  <si>
    <t xml:space="preserve">HOD (and Org Admin) see 'Your decision is needed' on near misses awaiting decision: 'Work may continue' or 'Stop the work', with an optional reason.</t>
  </si>
  <si>
    <t xml:space="preserve">OI-38</t>
  </si>
  <si>
    <t xml:space="preserve">Incident Investigation – Closing Investigation</t>
  </si>
  <si>
    <t xml:space="preserve">Root Cause, Corrective Action, and Preventive Action fields have no character restrictions and accept numerical-only input.</t>
  </si>
  <si>
    <t xml:space="preserve">Root cause, corrective and preventive action texts must be written in words and cannot contain links (server check).</t>
  </si>
  <si>
    <t xml:space="preserve">OI-39</t>
  </si>
  <si>
    <t xml:space="preserve">Copy Temporary Password button does not copy password.</t>
  </si>
  <si>
    <t xml:space="preserve">See D3-13.</t>
  </si>
  <si>
    <t xml:space="preserve">OI-40</t>
  </si>
  <si>
    <t xml:space="preserve">No popup/message after copying Temporary Password.</t>
  </si>
  <si>
    <t xml:space="preserve">'Temporary password copied' message shown.</t>
  </si>
  <si>
    <t xml:space="preserve">OI-41</t>
  </si>
  <si>
    <t xml:space="preserve">Name accepts numbers-only.</t>
  </si>
  <si>
    <t xml:space="preserve">Name rule on Users &amp; Roles.</t>
  </si>
  <si>
    <t xml:space="preserve">OI-42</t>
  </si>
  <si>
    <t xml:space="preserve">Organization – Location</t>
  </si>
  <si>
    <t xml:space="preserve">No archive history/details after Location is archived.</t>
  </si>
  <si>
    <t xml:space="preserve">Archived locations are listed under the Archived toggle with the archive date.</t>
  </si>
  <si>
    <t xml:space="preserve">OI-43</t>
  </si>
  <si>
    <t xml:space="preserve">Safety Checklist</t>
  </si>
  <si>
    <t xml:space="preserve">Archive button not working.</t>
  </si>
  <si>
    <t xml:space="preserve">Root cause: archived checklists stayed in the list looking unchanged. Active / Archived split; archiving moves it and confirms.</t>
  </si>
  <si>
    <t xml:space="preserve">OI-44</t>
  </si>
  <si>
    <t xml:space="preserve">Permit Types</t>
  </si>
  <si>
    <t xml:space="preserve">Color code does not automatically change after entering Permit Type.</t>
  </si>
  <si>
    <t xml:space="preserve">New permit types take a colour from their hazard family as the name is typed (e.g. Hot work → red) until a colour is picked.</t>
  </si>
  <si>
    <t xml:space="preserve">OI-45</t>
  </si>
  <si>
    <t xml:space="preserve">No success popup after editing/deleting.</t>
  </si>
  <si>
    <t xml:space="preserve">Confirmation messages after saving and deleting a permit type.</t>
  </si>
  <si>
    <t xml:space="preserve">Employee Management</t>
  </si>
  <si>
    <t xml:space="preserve">Phone should be 10 digits with country code dropdown.</t>
  </si>
  <si>
    <t xml:space="preserve">See OI-15.</t>
  </si>
  <si>
    <t xml:space="preserve">OI-47</t>
  </si>
  <si>
    <t xml:space="preserve">Profile Settings</t>
  </si>
  <si>
    <t xml:space="preserve">Selected picture not showing in profile icon.</t>
  </si>
  <si>
    <t xml:space="preserve">Storage-link fix (D3-02); picture shows in header and settings.</t>
  </si>
  <si>
    <t xml:space="preserve">OI-48</t>
  </si>
  <si>
    <t xml:space="preserve">No Delete/Remove option for picture.</t>
  </si>
  <si>
    <t xml:space="preserve">See D3-10.</t>
  </si>
  <si>
    <t xml:space="preserve">Billing &amp; Subscription</t>
  </si>
  <si>
    <t xml:space="preserve">Usage record saved with empty Quantity.</t>
  </si>
  <si>
    <t xml:space="preserve">See OI-25.</t>
  </si>
  <si>
    <t xml:space="preserve">Duplicate Active Permit metrics are unclear.</t>
  </si>
  <si>
    <t xml:space="preserve">See OI-26.</t>
  </si>
  <si>
    <t xml:space="preserve">Usage can be recorded/displayed without active plan.</t>
  </si>
  <si>
    <t xml:space="preserve">See OI-27.</t>
  </si>
  <si>
    <t xml:space="preserve">OI-52</t>
  </si>
  <si>
    <t xml:space="preserve">Agency Management</t>
  </si>
  <si>
    <t xml:space="preserve">No success popup after Delete/Edit.</t>
  </si>
  <si>
    <t xml:space="preserve">Confirmation messages after add, edit, deactivate, reactivate and delete on Employees, Contractors and Agencies.</t>
  </si>
  <si>
    <t xml:space="preserve">OI-53</t>
  </si>
  <si>
    <t xml:space="preserve">No success popup after Delete.</t>
  </si>
  <si>
    <t xml:space="preserve">Confirmation messages after add, role change, department change, deactivate, reactivate and delete on Users &amp; Roles.</t>
  </si>
  <si>
    <t xml:space="preserve">OI-54</t>
  </si>
  <si>
    <t xml:space="preserve">No Download/View/Delete after creation.</t>
  </si>
  <si>
    <t xml:space="preserve">OI-55</t>
  </si>
  <si>
    <t xml:space="preserve">Name rule on certificates.</t>
  </si>
  <si>
    <t xml:space="preserve">Expiry Date accepts characters.</t>
  </si>
  <si>
    <t xml:space="preserve">See OI-05.</t>
  </si>
  <si>
    <t xml:space="preserve">OI-57</t>
  </si>
  <si>
    <t xml:space="preserve">Sign In</t>
  </si>
  <si>
    <t xml:space="preserve">No Back button.</t>
  </si>
  <si>
    <t xml:space="preserve">OI-59</t>
  </si>
  <si>
    <t xml:space="preserve">Sign-in page has 'Back to home'. The Keycloak password screen itself is Keycloak's own page.</t>
  </si>
  <si>
    <t xml:space="preserve">OI-58</t>
  </si>
  <si>
    <t xml:space="preserve">Tenant</t>
  </si>
  <si>
    <t xml:space="preserve">Name rule on tenant/organisation name (form and server).</t>
  </si>
  <si>
    <t xml:space="preserve">See OI-57.</t>
  </si>
  <si>
    <t xml:space="preserve">OI-60</t>
  </si>
  <si>
    <t xml:space="preserve">Permit Creation – Viewer</t>
  </si>
  <si>
    <t xml:space="preserve">Add Viewer dropdown has no selectable option.</t>
  </si>
  <si>
    <t xml:space="preserve">Root cause: only users with the Viewer role were offered. Anyone active in the organisation can now be added as a viewer; already-added people are not offered twice.</t>
  </si>
  <si>
    <t xml:space="preserve">OI-61</t>
  </si>
  <si>
    <t xml:space="preserve">Added Viewer cannot be removed.</t>
  </si>
  <si>
    <t xml:space="preserve">Remove button on each viewer row.</t>
  </si>
  <si>
    <t xml:space="preserve">OI-62</t>
  </si>
  <si>
    <t xml:space="preserve">Permit Creation – Job Issuer</t>
  </si>
  <si>
    <t xml:space="preserve">Org Admin should get notification when onsite Job Issuer is assigned but does not.</t>
  </si>
  <si>
    <t xml:space="preserve">Needs clarification</t>
  </si>
  <si>
    <t xml:space="preserve">Open</t>
  </si>
  <si>
    <t xml:space="preserve">Unclear which event should notify the Org Admin ('onsite Job Issuer assigned'). Approvers are now notified on submit (D3-12).</t>
  </si>
  <si>
    <t xml:space="preserve">Not tested</t>
  </si>
  <si>
    <t xml:space="preserve">Please describe the step: who assigns whom, and who should be told.</t>
  </si>
  <si>
    <t xml:space="preserve">OI-63</t>
  </si>
  <si>
    <t xml:space="preserve">Permit Creation – Machinery</t>
  </si>
  <si>
    <t xml:space="preserve">Machinery dropdown only appears after page refresh.</t>
  </si>
  <si>
    <t xml:space="preserve">See D3-04.</t>
  </si>
  <si>
    <t xml:space="preserve">OI-64</t>
  </si>
  <si>
    <t xml:space="preserve">Permit Approval – HOD</t>
  </si>
  <si>
    <t xml:space="preserve">HOD does not receive notification after Org Admin submits permit.</t>
  </si>
  <si>
    <t xml:space="preserve">OI-65</t>
  </si>
  <si>
    <t xml:space="preserve">Permit Creation – Location/Schedule</t>
  </si>
  <si>
    <t xml:space="preserve">Can proceed without required time.</t>
  </si>
  <si>
    <t xml:space="preserve">Choosing a date fills the time with the next available slot, shown in the Time box; start and end are required before moving on and before submit.</t>
  </si>
  <si>
    <t xml:space="preserve">If a specific time must be chosen explicitly, please confirm.</t>
  </si>
  <si>
    <t xml:space="preserve">OI-66</t>
  </si>
  <si>
    <t xml:space="preserve">Permit Approval</t>
  </si>
  <si>
    <t xml:space="preserve">After HOD approval, Org Admin still sees “Continue Editing”.</t>
  </si>
  <si>
    <t xml:space="preserve">'Edit' is offered only for drafts and returned permits; the old drafts page was removed from the menu. After a draft is deleted the app returns to Permits.</t>
  </si>
  <si>
    <t xml:space="preserve">OI-67</t>
  </si>
  <si>
    <t xml:space="preserve">Evidence Record</t>
  </si>
  <si>
    <t xml:space="preserve">Evidence cannot be downloaded.</t>
  </si>
  <si>
    <t xml:space="preserve">OI-68</t>
  </si>
  <si>
    <t xml:space="preserve">Organization – Permit Type</t>
  </si>
  <si>
    <t xml:space="preserve">No success popup after adding Permit Type.</t>
  </si>
  <si>
    <t xml:space="preserve">Confirmation message after adding a permit type.</t>
  </si>
  <si>
    <t xml:space="preserve">OI-69</t>
  </si>
  <si>
    <t xml:space="preserve">No notification after create/edit/archive/delete records.</t>
  </si>
  <si>
    <t xml:space="preserve">Confirmation messages (bottom-right) added across organisation, workforce, users, permit types, checklists, billing, incidents, profile and LOTOTO isolation points.</t>
  </si>
  <si>
    <t xml:space="preserve">OI-70</t>
  </si>
  <si>
    <t xml:space="preserve">No popup message after completion.</t>
  </si>
  <si>
    <t xml:space="preserve">See OI-69.</t>
  </si>
  <si>
    <t xml:space="preserve">New issues report (PDF)</t>
  </si>
  <si>
    <t xml:space="preserve">NI-01</t>
  </si>
  <si>
    <t xml:space="preserve">Sign In / PKCE</t>
  </si>
  <si>
    <t xml:space="preserve">After entering valid credentials, sign-in fails with “Sign in failed, missing PKCE verifier, sign in again.” User must go back to the login page and click Back before attempting login again.</t>
  </si>
  <si>
    <t xml:space="preserve">No (old build)</t>
  </si>
  <si>
    <t xml:space="preserve">The message came from the old Keycloak redirect sign-in, which kept a PKCE verifier in the browser tab. Since 20de02d (deployed today) sign-in happens on the app's own page and the API talks to Keycloak; there is no PKCE step any more. The cookie policy still listed the old PKCE and Keycloak storage and has been corrected.</t>
  </si>
  <si>
    <t xml:space="preserve">Sign in at https://permitwiseai.cloud/login. If the PKCE message appears, the browser is showing a cached old page: reload with Ctrl+Shift+R.</t>
  </si>
  <si>
    <t xml:space="preserve">NI-02</t>
  </si>
  <si>
    <t xml:space="preserve">Opening a notification does not automatically mark it as read; the notification continues to show the “Mark as read” action.</t>
  </si>
  <si>
    <t xml:space="preserve">Root cause: only the explicit Mark read / Mark as read buttons marked a message read. Opening one from Messages, the header bell or the dashboard now marks it (and its grouped repeats) read; the notification detail page marks it read on open, so its Mark as read button is gone.</t>
  </si>
  <si>
    <t xml:space="preserve">Pass – automated UI test (local); retest on dev server</t>
  </si>
  <si>
    <t xml:space="preserve">Open an unread message: it should lose its dot and bold text, and the unread count should drop.</t>
  </si>
  <si>
    <t xml:space="preserve">NI-03</t>
  </si>
  <si>
    <t xml:space="preserve">Workstation / Machinery</t>
  </si>
  <si>
    <t xml:space="preserve">Permit workflow can proceed to the next step and can be submitted without selecting/providing the required workstation and machinery information.</t>
  </si>
  <si>
    <t xml:space="preserve">Root cause: workstation was only required when gas testing was ticked, and machinery only when LOTOTO was ticked, in both the wizard and the API. Now a workstation is always required (wizard and API on submit), and machinery is required whenever the chosen workstation has machines.</t>
  </si>
  <si>
    <t xml:space="preserve">Pass – unit test + automated UI test (local); retest on dev server</t>
  </si>
  <si>
    <t xml:space="preserve">On-site details: Next without a workstation shows “Workstation is required”; with a workstation that has machines and no machine chosen, “Machinery is required”.</t>
  </si>
  <si>
    <t xml:space="preserve">NI-04</t>
  </si>
  <si>
    <t xml:space="preserve">Permit Closure / Org Admin</t>
  </si>
  <si>
    <t xml:space="preserve">Organization Admin can close the permit even though the UI indicates that HOD can close the issue.</t>
  </si>
  <si>
    <t xml:space="preserve">The organisation admin override is deliberate and applies throughout (approve, stop work, close). The screens now say so: the closure panel is titled “Final sign-off” with “Closed by the HOD, or by an organisation admin when the HOD is unavailable”, and the permit process map names “HOD or org admin” for Close and Send back.</t>
  </si>
  <si>
    <t xml:space="preserve">Not tested – wording only; retest on dev server</t>
  </si>
  <si>
    <t xml:space="preserve">Please confirm. If only the HOD may close, say so and the admin override for closure will be removed.</t>
  </si>
  <si>
    <t xml:space="preserve">NI-05</t>
  </si>
  <si>
    <t xml:space="preserve">Lifecycle History</t>
  </si>
  <si>
    <t xml:space="preserve">Completed work is not visually distinguished in lifecycle history.</t>
  </si>
  <si>
    <t xml:space="preserve">Root cause: every history entry had the same hollow dot. Each entry now has a filled marker: green tick for completed steps, amber for sent back or deferred, red for rejected or stopped; the latest entry is ringed and labelled Latest.</t>
  </si>
  <si>
    <t xml:space="preserve">Closure page and archive → Lifecycle history.</t>
  </si>
  <si>
    <t xml:space="preserve">NI-06</t>
  </si>
  <si>
    <t xml:space="preserve">Permit Resubmission / Notifications</t>
  </si>
  <si>
    <t xml:space="preserve">When the Job Issuer receives and resubmits a permit, no notification is sent to the Organization Admin.</t>
  </si>
  <si>
    <t xml:space="preserve">Root cause: a resubmission only notified the next approvers (usually the department HOD). It now also notifies the organisation admins and the person who deferred or rejected the permit, with the title “Permit resubmitted”.</t>
  </si>
  <si>
    <t xml:space="preserve">Pass – unit test; retest on dev server</t>
  </si>
  <si>
    <t xml:space="preserve">Defer a permit as HOD or org admin, resubmit as the issuer; the org admin gets “Permit resubmitted”.</t>
  </si>
  <si>
    <t xml:space="preserve">NI-07</t>
  </si>
  <si>
    <t xml:space="preserve">Permit Templates – Import Reference</t>
  </si>
  <si>
    <t xml:space="preserve">The Import Reference function is not working in Permit Templates.</t>
  </si>
  <si>
    <t xml:space="preserve">On the dev server the import works (all 9 reference templates are already present, so it says “All reference templates are already here”). Real fault found: a reference template that had been deleted still counted as present, so it never came back and could not be re-imported. Import now restores deleted reference templates.</t>
  </si>
  <si>
    <t xml:space="preserve">Delete one SOP-ES-023 template, click Import reference set: “Imported 1 reference template” and it is listed again.</t>
  </si>
  <si>
    <t xml:space="preserve">NI-08</t>
  </si>
  <si>
    <t xml:space="preserve">Permit Creation – Gas Testing</t>
  </si>
  <si>
    <t xml:space="preserve">The Gas Testing Required checkbox/toggle is not working during permit creation.</t>
  </si>
  <si>
    <t xml:space="preserve">NI-09</t>
  </si>
  <si>
    <t xml:space="preserve">Root causes: (1) On-site details belong to the job executor, so for a job issuer the checkbox is read-only, yet the hint said “choose a workstation above first”; (2) most workstations have no gas tests set up (on the dev server only Tank Farm Manifold has one), which left Add gas testing greyed out with no way forward. Now the read-only step says who fills it and what to do; hints show only to people who can edit; ticking the box adds every gas test set up for the workstation; a workstation without gas tests gets a link to add them and a refresh.</t>
  </si>
  <si>
    <t xml:space="preserve">Sign in as the executor (or org admin), choose Tank Farm Manifold, tick Gas testing required: its gas test is added.</t>
  </si>
  <si>
    <t xml:space="preserve">The Add Lockout/Tagout field is not working during permit creation.</t>
  </si>
  <si>
    <t xml:space="preserve">Same step-ownership cause as NI-08: for a job issuer the LOTOTO controls are read-only while the hint said “choose machinery above first”. As org admin the flow works (machine → LOTOTO required → Add LOTOTO → plans listed). Now: read-only step explained, hint only for editors, a machine with a single LOTOTO plan has it selected when the box is ticked; a machine with none links to create one.</t>
  </si>
  <si>
    <t xml:space="preserve">As executor: choose machinery, tick LOTOTO required, pick the procedure, Next.</t>
  </si>
  <si>
    <t xml:space="preserve">NI-10</t>
  </si>
  <si>
    <t xml:space="preserve">User &amp; Roles – Department</t>
  </si>
  <si>
    <t xml:space="preserve">The User &amp; Roles list contains a Department dropdown, but the purpose/requirement of this dropdown is unclear in the current UI.</t>
  </si>
  <si>
    <t xml:space="preserve">A person's department only matters for HODs: it limits the permits they see, approve and are notified about. The Department field now appears only when the role is HOD (“this HOD sees and approves its permits only”); the list column is “HOD department” and shows — for other roles.</t>
  </si>
  <si>
    <t xml:space="preserve">Add user: choose HOD and the Department field appears; other roles have none.</t>
  </si>
  <si>
    <t xml:space="preserve">Needed on the dev server for these fixes</t>
  </si>
  <si>
    <t xml:space="preserve">1. Database migrations: 0047_certificate_start_date, 0048_notification_role_changed.</t>
  </si>
  <si>
    <t xml:space="preserve">2. Storage links: MINIO_PUBLIC_URL is set from PUBLIC_ORIGIN by docker-compose.caddy.yml; the Caddyfile forwards /ptw-documents/* to MinIO. Rebuild api and restart caddy.</t>
  </si>
  <si>
    <t xml:space="preserve">3. Keycloak: the API now allows the tenant_id user attribute (user profile “unmanaged attributes: admin edit”) and repairs existing app-created users on start-up.</t>
  </si>
  <si>
    <t xml:space="preserve">4. Open the site at the address in CORS_ORIGIN (currently http://200.234.45.51). Add any hostname testers use to CORS_ORIGIN, or move to HTTPS on a domain.</t>
  </si>
  <si>
    <t xml:space="preserve">Found while verifying (not on either list, fixed)</t>
  </si>
  <si>
    <t xml:space="preserve">• Users created in the app (Users &amp; Roles, workforce logins, tenant invites) lost their organisation in Keycloak: their role could not be changed and they could not work in the tenant.</t>
  </si>
  <si>
    <t xml:space="preserve">• Table headings on Reports, Workforce and Organisation lists covered the first row when the page scrolled.</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</si>
</sst>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sz val="10"/>
      <name val="Arial"/>
      <family val="0"/>
      <charset val="1"/>
    </font>
    <font>
      <sz val="10"/>
      <color rgb="FF555555"/>
      <name val="Arial"/>
      <family val="0"/>
      <charset val="1"/>
    </font>
    <font>
      <b val="true"/>
      <sz val="10"/>
      <name val="Arial"/>
      <family val="0"/>
      <charset val="1"/>
    </font>
    <font>
      <b val="true"/>
      <sz val="11"/>
      <name val="Arial"/>
      <family val="0"/>
      <charset val="1"/>
    </font>
    <font>
      <b val="true"/>
      <sz val="10"/>
      <color rgb="FFFFFFFF"/>
      <name val="Arial"/>
      <family val="0"/>
      <charset val="1"/>
    </font>
  </fonts>
  <fills count="4">
    <fill>
      <patternFill patternType="none"/>
    </fill>
    <fill>
      <patternFill patternType="gray125"/>
    </fill>
    <fill>
      <patternFill patternType="solid">
        <fgColor rgb="FF1F2937"/>
        <bgColor rgb="FF333300"/>
      </patternFill>
    </fill>
    <fill>
      <patternFill patternType="solid">
        <fgColor rgb="FFFFF9DB"/>
        <bgColor rgb="FFFEF3C7"/>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
      <fill>
        <patternFill patternType="solid">
          <fgColor rgb="FFDCFCE7"/>
          <bgColor rgb="FF000000"/>
        </patternFill>
      </fill>
    </dxf>
    <dxf>
      <fill>
        <patternFill patternType="solid">
          <fgColor rgb="FFF3F4F6"/>
          <bgColor rgb="FF000000"/>
        </patternFill>
      </fill>
    </dxf>
    <dxf>
      <fill>
        <patternFill patternType="solid">
          <fgColor rgb="FFFEF3C7"/>
          <bgColor rgb="FF000000"/>
        </patternFill>
      </fill>
    </dxf>
    <dxf>
      <fill>
        <patternFill patternType="solid">
          <fgColor rgb="FFFFF9DB"/>
          <bgColor rgb="FF000000"/>
        </patternFill>
      </fill>
    </dxf>
    <dxf>
      <fill>
        <patternFill>
          <bgColor rgb="FFDCFCE7"/>
        </patternFill>
      </fill>
    </dxf>
    <dxf>
      <fill>
        <patternFill>
          <bgColor rgb="FFF3F4F6"/>
        </patternFill>
      </fill>
    </dxf>
    <dxf>
      <fill>
        <patternFill>
          <bgColor rgb="FFFEF3C7"/>
        </patternFill>
      </fill>
    </dxf>
    <dxf>
      <fill>
        <patternFill>
          <bgColor rgb="FF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DCFCE7"/>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3F4F6"/>
      <rgbColor rgb="FFCCFFCC"/>
      <rgbColor rgb="FFFEF3C7"/>
      <rgbColor rgb="FF99CCFF"/>
      <rgbColor rgb="FFFF99CC"/>
      <rgbColor rgb="FFCC99FF"/>
      <rgbColor rgb="FFFEE2E2"/>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7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n">
        <f aca="false">COUNTA('Consolidated Bugs'!C2:C101)</f>
        <v>100</v>
      </c>
      <c r="C4" s="5" t="s">
        <v>3</v>
      </c>
    </row>
    <row r="5" customFormat="false" ht="15" hidden="false" customHeight="true" outlineLevel="0" collapsed="false">
      <c r="A5" s="4" t="s">
        <v>4</v>
      </c>
      <c r="B5" s="4" t="n">
        <f aca="false">COUNTIF('Consolidated Bugs'!B2:B101,"3rd deployment*")</f>
        <v>20</v>
      </c>
    </row>
    <row r="6" customFormat="false" ht="15" hidden="false" customHeight="true" outlineLevel="0" collapsed="false">
      <c r="A6" s="4" t="s">
        <v>5</v>
      </c>
      <c r="B6" s="4" t="n">
        <f aca="false">COUNTIF('Consolidated Bugs'!B2:B101,"dev_vinesh*")</f>
        <v>70</v>
      </c>
    </row>
    <row r="7" customFormat="false" ht="15" hidden="false" customHeight="true" outlineLevel="0" collapsed="false">
      <c r="A7" s="4" t="s">
        <v>6</v>
      </c>
      <c r="B7" s="4" t="n">
        <f aca="false">COUNTIF('Consolidated Bugs'!B2:B101,"New issues*")</f>
        <v>10</v>
      </c>
    </row>
    <row r="8" customFormat="false" ht="15" hidden="false" customHeight="true" outlineLevel="0" collapsed="false">
      <c r="A8" s="6" t="s">
        <v>7</v>
      </c>
    </row>
    <row r="9" customFormat="false" ht="15" hidden="false" customHeight="true" outlineLevel="0" collapsed="false">
      <c r="A9" s="4" t="s">
        <v>8</v>
      </c>
      <c r="B9" s="4" t="n">
        <f aca="false">COUNTIF('Consolidated Bugs'!I2:I101,"Fixed")</f>
        <v>65</v>
      </c>
      <c r="C9" s="5" t="s">
        <v>9</v>
      </c>
    </row>
    <row r="10" customFormat="false" ht="15" hidden="false" customHeight="true" outlineLevel="0" collapsed="false">
      <c r="A10" s="4" t="s">
        <v>10</v>
      </c>
      <c r="B10" s="4" t="n">
        <f aca="false">COUNTIF('Consolidated Bugs'!I2:I101,"Duplicate")</f>
        <v>20</v>
      </c>
      <c r="C10" s="5" t="s">
        <v>11</v>
      </c>
    </row>
    <row r="11" customFormat="false" ht="15" hidden="false" customHeight="true" outlineLevel="0" collapsed="false">
      <c r="A11" s="4" t="s">
        <v>12</v>
      </c>
      <c r="B11" s="4" t="n">
        <f aca="false">COUNTIF('Consolidated Bugs'!I2:I101,"Already fixed")</f>
        <v>2</v>
      </c>
    </row>
    <row r="12" customFormat="false" ht="15" hidden="false" customHeight="true" outlineLevel="0" collapsed="false">
      <c r="A12" s="4" t="s">
        <v>13</v>
      </c>
      <c r="B12" s="4" t="n">
        <f aca="false">COUNTIF('Consolidated Bugs'!I2:I101,"By design")</f>
        <v>5</v>
      </c>
      <c r="C12" s="5" t="s">
        <v>14</v>
      </c>
    </row>
    <row r="13" customFormat="false" ht="15" hidden="false" customHeight="true" outlineLevel="0" collapsed="false">
      <c r="A13" s="4" t="s">
        <v>15</v>
      </c>
      <c r="B13" s="4" t="n">
        <f aca="false">COUNTIF('Consolidated Bugs'!I2:I101,"No change")</f>
        <v>3</v>
      </c>
      <c r="C13" s="5" t="s">
        <v>16</v>
      </c>
    </row>
    <row r="14" customFormat="false" ht="15" hidden="false" customHeight="true" outlineLevel="0" collapsed="false">
      <c r="A14" s="4" t="s">
        <v>17</v>
      </c>
      <c r="B14" s="4" t="n">
        <f aca="false">COUNTIF('Consolidated Bugs'!I2:I101,"Hardened")+COUNTIF('Consolidated Bugs'!I2:I101,"Config / hardened")</f>
        <v>2</v>
      </c>
    </row>
    <row r="15" customFormat="false" ht="15" hidden="false" customHeight="true" outlineLevel="0" collapsed="false">
      <c r="A15" s="4" t="s">
        <v>18</v>
      </c>
      <c r="B15" s="4" t="n">
        <f aca="false">COUNTIF('Consolidated Bugs'!I2:I101,"Changed")</f>
        <v>2</v>
      </c>
    </row>
    <row r="16" customFormat="false" ht="15" hidden="false" customHeight="true" outlineLevel="0" collapsed="false">
      <c r="A16" s="4" t="s">
        <v>19</v>
      </c>
      <c r="B16" s="4" t="n">
        <f aca="false">COUNTIF('Consolidated Bugs'!I2:I101,"Open")</f>
        <v>1</v>
      </c>
    </row>
    <row r="17" customFormat="false" ht="15" hidden="false" customHeight="true" outlineLevel="0" collapsed="false">
      <c r="A17" s="4" t="s">
        <v>20</v>
      </c>
      <c r="B17" s="4" t="n">
        <f aca="false">B9+B10+B11+B12+B13+B14+B15+B16-B4</f>
        <v>0</v>
      </c>
      <c r="C17" s="5" t="s">
        <v>21</v>
      </c>
    </row>
    <row r="19" customFormat="false" ht="15" hidden="false" customHeight="true" outlineLevel="0" collapsed="false">
      <c r="A19" s="6" t="s">
        <v>22</v>
      </c>
    </row>
    <row r="20" customFormat="false" ht="15" hidden="false" customHeight="true" outlineLevel="0" collapsed="false">
      <c r="A20" s="4" t="s">
        <v>23</v>
      </c>
      <c r="B20" s="4" t="n">
        <f aca="false">COUNTIF('Consolidated Bugs'!K2:K101,"*automated UI*")</f>
        <v>55</v>
      </c>
      <c r="C20" s="5" t="s">
        <v>24</v>
      </c>
    </row>
    <row r="21" customFormat="false" ht="15" hidden="false" customHeight="true" outlineLevel="0" collapsed="false">
      <c r="A21" s="4" t="s">
        <v>25</v>
      </c>
      <c r="B21" s="4" t="n">
        <f aca="false">COUNTIF('Consolidated Bugs'!K2:K101,"*automated API*")</f>
        <v>13</v>
      </c>
      <c r="C21" s="5" t="s">
        <v>26</v>
      </c>
    </row>
    <row r="22" customFormat="false" ht="15" hidden="false" customHeight="true" outlineLevel="0" collapsed="false">
      <c r="A22" s="4" t="s">
        <v>27</v>
      </c>
      <c r="B22" s="4" t="n">
        <f aca="false">COUNTIF('Consolidated Bugs'!K2:K101,"*unit test*")</f>
        <v>4</v>
      </c>
    </row>
    <row r="23" customFormat="false" ht="15" hidden="false" customHeight="true" outlineLevel="0" collapsed="false">
      <c r="A23" s="4" t="s">
        <v>28</v>
      </c>
      <c r="B23" s="4" t="n">
        <f aca="false">COUNTIF('Consolidated Bugs'!K2:K101,"*retest*")+COUNTIF('Consolidated Bugs'!K2:K101,"Retest*")</f>
        <v>37</v>
      </c>
      <c r="C23" s="5" t="s">
        <v>29</v>
      </c>
    </row>
    <row r="25" customFormat="false" ht="15" hidden="false" customHeight="true" outlineLevel="0" collapsed="false">
      <c r="A25" s="6" t="s">
        <v>30</v>
      </c>
    </row>
    <row r="26" customFormat="false" ht="15" hidden="false" customHeight="true" outlineLevel="0" collapsed="false">
      <c r="A26" s="4" t="s">
        <v>31</v>
      </c>
      <c r="B26" s="4" t="n">
        <f aca="false">COUNTIF('Consolidated Bugs'!M2:M101,"Pass")</f>
        <v>0</v>
      </c>
      <c r="C26" s="5" t="s">
        <v>32</v>
      </c>
    </row>
    <row r="27" customFormat="false" ht="15" hidden="false" customHeight="true" outlineLevel="0" collapsed="false">
      <c r="A27" s="4" t="s">
        <v>33</v>
      </c>
      <c r="B27" s="4" t="n">
        <f aca="false">COUNTIF('Consolidated Bugs'!M2:M101,"Fail")</f>
        <v>0</v>
      </c>
    </row>
    <row r="28" customFormat="false" ht="15" hidden="false" customHeight="true" outlineLevel="0" collapsed="false">
      <c r="A28" s="4" t="s">
        <v>34</v>
      </c>
      <c r="B28" s="4" t="n">
        <f aca="false">B4-B26-B27</f>
        <v>100</v>
      </c>
    </row>
    <row r="30" customFormat="false" ht="15" hidden="false" customHeight="true" outlineLevel="0" collapsed="false">
      <c r="A30" s="7" t="s">
        <v>35</v>
      </c>
    </row>
    <row r="31" customFormat="false" ht="30" hidden="false" customHeight="true" outlineLevel="0" collapsed="false">
      <c r="A31" s="8" t="s">
        <v>36</v>
      </c>
      <c r="B31" s="8"/>
      <c r="C31" s="8"/>
    </row>
    <row r="32" customFormat="false" ht="30" hidden="false" customHeight="true" outlineLevel="0" collapsed="false">
      <c r="A32" s="8" t="s">
        <v>37</v>
      </c>
      <c r="B32" s="8"/>
      <c r="C32" s="8"/>
    </row>
    <row r="33" customFormat="false" ht="30" hidden="false" customHeight="true" outlineLevel="0" collapsed="false">
      <c r="A33" s="8" t="s">
        <v>38</v>
      </c>
      <c r="B33" s="8"/>
      <c r="C33" s="8"/>
    </row>
    <row r="34" customFormat="false" ht="30" hidden="false" customHeight="true" outlineLevel="0" collapsed="false">
      <c r="A34" s="8" t="s">
        <v>39</v>
      </c>
      <c r="B34" s="8"/>
      <c r="C34" s="8"/>
    </row>
    <row r="35" customFormat="false" ht="34.5" hidden="false" customHeight="true" outlineLevel="0" collapsed="false">
      <c r="A35" s="9" t="s">
        <v>40</v>
      </c>
    </row>
  </sheetData>
  <mergeCells count="4">
    <mergeCell ref="A31:C31"/>
    <mergeCell ref="A32:C32"/>
    <mergeCell ref="A33:C33"/>
    <mergeCell ref="A34:C3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9"/>
    <col collapsed="false" customWidth="true" hidden="false" outlineLevel="0" max="4" min="4" style="1" width="24"/>
    <col collapsed="false" customWidth="true" hidden="false" outlineLevel="0" max="5" min="5" style="1" width="48"/>
    <col collapsed="false" customWidth="true" hidden="false" outlineLevel="0" max="6" min="6" style="1" width="8"/>
    <col collapsed="false" customWidth="true" hidden="false" outlineLevel="0" max="7" min="7" style="1" width="14"/>
    <col collapsed="false" customWidth="true" hidden="false" outlineLevel="0" max="8" min="8" style="1" width="16"/>
    <col collapsed="false" customWidth="true" hidden="false" outlineLevel="0" max="9" min="9" style="1" width="14"/>
    <col collapsed="false" customWidth="true" hidden="false" outlineLevel="0" max="10" min="10" style="1" width="60"/>
    <col collapsed="false" customWidth="true" hidden="false" outlineLevel="0" max="11" min="11" style="1" width="28"/>
    <col collapsed="false" customWidth="true" hidden="false" outlineLevel="0" max="12" min="12" style="1" width="40"/>
    <col collapsed="false" customWidth="true" hidden="false" outlineLevel="0" max="13" min="13" style="1" width="14"/>
    <col collapsed="false" customWidth="true" hidden="false" outlineLevel="0" max="14" min="14" style="1" width="30"/>
  </cols>
  <sheetData>
    <row r="1" customFormat="false" ht="31.5" hidden="false" customHeight="true" outlineLevel="0" collapsed="false">
      <c r="A1" s="10" t="s">
        <v>41</v>
      </c>
      <c r="B1" s="10" t="s">
        <v>42</v>
      </c>
      <c r="C1" s="10" t="s">
        <v>43</v>
      </c>
      <c r="D1" s="10" t="s">
        <v>44</v>
      </c>
      <c r="E1" s="10" t="s">
        <v>45</v>
      </c>
      <c r="F1" s="10" t="s">
        <v>46</v>
      </c>
      <c r="G1" s="10" t="s">
        <v>47</v>
      </c>
      <c r="H1" s="10" t="s">
        <v>48</v>
      </c>
      <c r="I1" s="10" t="s">
        <v>7</v>
      </c>
      <c r="J1" s="10" t="s">
        <v>49</v>
      </c>
      <c r="K1" s="10" t="s">
        <v>22</v>
      </c>
      <c r="L1" s="10" t="s">
        <v>50</v>
      </c>
      <c r="M1" s="10" t="s">
        <v>51</v>
      </c>
      <c r="N1" s="10" t="s">
        <v>52</v>
      </c>
    </row>
    <row r="2" customFormat="false" ht="45.75" hidden="false" customHeight="true" outlineLevel="0" collapsed="false">
      <c r="A2" s="11" t="n">
        <v>1</v>
      </c>
      <c r="B2" s="11" t="s">
        <v>53</v>
      </c>
      <c r="C2" s="11" t="s">
        <v>54</v>
      </c>
      <c r="D2" s="11" t="s">
        <v>55</v>
      </c>
      <c r="E2" s="11" t="s">
        <v>56</v>
      </c>
      <c r="F2" s="11" t="s">
        <v>57</v>
      </c>
      <c r="G2" s="11" t="s">
        <v>58</v>
      </c>
      <c r="H2" s="11"/>
      <c r="I2" s="11" t="s">
        <v>59</v>
      </c>
      <c r="J2" s="11" t="s">
        <v>60</v>
      </c>
      <c r="K2" s="11" t="s">
        <v>61</v>
      </c>
      <c r="L2" s="11" t="s">
        <v>62</v>
      </c>
      <c r="M2" s="12"/>
      <c r="N2" s="12"/>
    </row>
    <row r="3" customFormat="false" ht="34.5" hidden="false" customHeight="true" outlineLevel="0" collapsed="false">
      <c r="A3" s="11" t="n">
        <v>2</v>
      </c>
      <c r="B3" s="11" t="s">
        <v>53</v>
      </c>
      <c r="C3" s="11" t="s">
        <v>63</v>
      </c>
      <c r="D3" s="11" t="s">
        <v>64</v>
      </c>
      <c r="E3" s="11" t="s">
        <v>65</v>
      </c>
      <c r="F3" s="11" t="s">
        <v>57</v>
      </c>
      <c r="G3" s="11" t="s">
        <v>66</v>
      </c>
      <c r="H3" s="11"/>
      <c r="I3" s="11" t="s">
        <v>8</v>
      </c>
      <c r="J3" s="11" t="s">
        <v>67</v>
      </c>
      <c r="K3" s="11" t="s">
        <v>68</v>
      </c>
      <c r="L3" s="11" t="s">
        <v>69</v>
      </c>
      <c r="M3" s="12"/>
      <c r="N3" s="12"/>
    </row>
    <row r="4" customFormat="false" ht="34.5" hidden="false" customHeight="true" outlineLevel="0" collapsed="false">
      <c r="A4" s="11" t="n">
        <v>3</v>
      </c>
      <c r="B4" s="11" t="s">
        <v>53</v>
      </c>
      <c r="C4" s="11" t="s">
        <v>70</v>
      </c>
      <c r="D4" s="11" t="s">
        <v>71</v>
      </c>
      <c r="E4" s="11" t="s">
        <v>72</v>
      </c>
      <c r="F4" s="11" t="s">
        <v>57</v>
      </c>
      <c r="G4" s="11" t="s">
        <v>66</v>
      </c>
      <c r="H4" s="11"/>
      <c r="I4" s="11" t="s">
        <v>8</v>
      </c>
      <c r="J4" s="11" t="s">
        <v>73</v>
      </c>
      <c r="K4" s="11" t="s">
        <v>74</v>
      </c>
      <c r="L4" s="11" t="s">
        <v>75</v>
      </c>
      <c r="M4" s="12"/>
      <c r="N4" s="12"/>
    </row>
    <row r="5" customFormat="false" ht="34.5" hidden="false" customHeight="true" outlineLevel="0" collapsed="false">
      <c r="A5" s="11" t="n">
        <v>4</v>
      </c>
      <c r="B5" s="11" t="s">
        <v>53</v>
      </c>
      <c r="C5" s="11" t="s">
        <v>76</v>
      </c>
      <c r="D5" s="11" t="s">
        <v>77</v>
      </c>
      <c r="E5" s="11" t="s">
        <v>78</v>
      </c>
      <c r="F5" s="11" t="s">
        <v>57</v>
      </c>
      <c r="G5" s="11" t="s">
        <v>79</v>
      </c>
      <c r="H5" s="11"/>
      <c r="I5" s="11" t="s">
        <v>80</v>
      </c>
      <c r="J5" s="11" t="s">
        <v>81</v>
      </c>
      <c r="K5" s="11" t="s">
        <v>82</v>
      </c>
      <c r="L5" s="11" t="s">
        <v>83</v>
      </c>
      <c r="M5" s="12"/>
      <c r="N5" s="12"/>
    </row>
    <row r="6" customFormat="false" ht="34.5" hidden="false" customHeight="true" outlineLevel="0" collapsed="false">
      <c r="A6" s="11" t="n">
        <v>5</v>
      </c>
      <c r="B6" s="11" t="s">
        <v>53</v>
      </c>
      <c r="C6" s="11" t="s">
        <v>84</v>
      </c>
      <c r="D6" s="11" t="s">
        <v>85</v>
      </c>
      <c r="E6" s="11" t="s">
        <v>86</v>
      </c>
      <c r="F6" s="11" t="s">
        <v>57</v>
      </c>
      <c r="G6" s="11" t="s">
        <v>66</v>
      </c>
      <c r="H6" s="11"/>
      <c r="I6" s="11" t="s">
        <v>8</v>
      </c>
      <c r="J6" s="11" t="s">
        <v>87</v>
      </c>
      <c r="K6" s="11" t="s">
        <v>74</v>
      </c>
      <c r="L6" s="11"/>
      <c r="M6" s="12"/>
      <c r="N6" s="12"/>
    </row>
    <row r="7" customFormat="false" ht="34.5" hidden="false" customHeight="true" outlineLevel="0" collapsed="false">
      <c r="A7" s="11" t="n">
        <v>6</v>
      </c>
      <c r="B7" s="11" t="s">
        <v>53</v>
      </c>
      <c r="C7" s="11" t="s">
        <v>88</v>
      </c>
      <c r="D7" s="11" t="s">
        <v>89</v>
      </c>
      <c r="E7" s="11" t="s">
        <v>90</v>
      </c>
      <c r="F7" s="11" t="s">
        <v>91</v>
      </c>
      <c r="G7" s="11" t="s">
        <v>66</v>
      </c>
      <c r="H7" s="11"/>
      <c r="I7" s="11" t="s">
        <v>8</v>
      </c>
      <c r="J7" s="11" t="s">
        <v>92</v>
      </c>
      <c r="K7" s="11" t="s">
        <v>93</v>
      </c>
      <c r="L7" s="11" t="s">
        <v>94</v>
      </c>
      <c r="M7" s="12"/>
      <c r="N7" s="12"/>
    </row>
    <row r="8" customFormat="false" ht="45.75" hidden="false" customHeight="true" outlineLevel="0" collapsed="false">
      <c r="A8" s="11" t="n">
        <v>7</v>
      </c>
      <c r="B8" s="11" t="s">
        <v>53</v>
      </c>
      <c r="C8" s="11" t="s">
        <v>95</v>
      </c>
      <c r="D8" s="11" t="s">
        <v>96</v>
      </c>
      <c r="E8" s="11" t="s">
        <v>97</v>
      </c>
      <c r="F8" s="11" t="s">
        <v>57</v>
      </c>
      <c r="G8" s="11" t="s">
        <v>66</v>
      </c>
      <c r="H8" s="11"/>
      <c r="I8" s="11" t="s">
        <v>8</v>
      </c>
      <c r="J8" s="11" t="s">
        <v>98</v>
      </c>
      <c r="K8" s="11" t="s">
        <v>74</v>
      </c>
      <c r="L8" s="11"/>
      <c r="M8" s="12"/>
      <c r="N8" s="12"/>
    </row>
    <row r="9" customFormat="false" ht="45.75" hidden="false" customHeight="true" outlineLevel="0" collapsed="false">
      <c r="A9" s="11" t="n">
        <v>8</v>
      </c>
      <c r="B9" s="11" t="s">
        <v>53</v>
      </c>
      <c r="C9" s="11" t="s">
        <v>99</v>
      </c>
      <c r="D9" s="11" t="s">
        <v>100</v>
      </c>
      <c r="E9" s="11" t="s">
        <v>101</v>
      </c>
      <c r="F9" s="11" t="s">
        <v>57</v>
      </c>
      <c r="G9" s="11" t="s">
        <v>66</v>
      </c>
      <c r="H9" s="11"/>
      <c r="I9" s="11" t="s">
        <v>8</v>
      </c>
      <c r="J9" s="11" t="s">
        <v>102</v>
      </c>
      <c r="K9" s="11" t="s">
        <v>68</v>
      </c>
      <c r="L9" s="11" t="s">
        <v>103</v>
      </c>
      <c r="M9" s="12"/>
      <c r="N9" s="12"/>
    </row>
    <row r="10" customFormat="false" ht="34.5" hidden="false" customHeight="true" outlineLevel="0" collapsed="false">
      <c r="A10" s="11" t="n">
        <v>9</v>
      </c>
      <c r="B10" s="11" t="s">
        <v>53</v>
      </c>
      <c r="C10" s="11" t="s">
        <v>104</v>
      </c>
      <c r="D10" s="11" t="s">
        <v>105</v>
      </c>
      <c r="E10" s="11" t="s">
        <v>106</v>
      </c>
      <c r="F10" s="11" t="s">
        <v>57</v>
      </c>
      <c r="G10" s="11" t="s">
        <v>66</v>
      </c>
      <c r="H10" s="11"/>
      <c r="I10" s="11" t="s">
        <v>8</v>
      </c>
      <c r="J10" s="11" t="s">
        <v>107</v>
      </c>
      <c r="K10" s="11" t="s">
        <v>68</v>
      </c>
      <c r="L10" s="11" t="s">
        <v>108</v>
      </c>
      <c r="M10" s="12"/>
      <c r="N10" s="12"/>
    </row>
    <row r="11" customFormat="false" ht="23.25" hidden="false" customHeight="true" outlineLevel="0" collapsed="false">
      <c r="A11" s="11" t="n">
        <v>10</v>
      </c>
      <c r="B11" s="11" t="s">
        <v>53</v>
      </c>
      <c r="C11" s="11" t="s">
        <v>109</v>
      </c>
      <c r="D11" s="11" t="s">
        <v>110</v>
      </c>
      <c r="E11" s="11" t="s">
        <v>111</v>
      </c>
      <c r="F11" s="11" t="s">
        <v>112</v>
      </c>
      <c r="G11" s="11" t="s">
        <v>66</v>
      </c>
      <c r="H11" s="11" t="s">
        <v>113</v>
      </c>
      <c r="I11" s="11" t="s">
        <v>8</v>
      </c>
      <c r="J11" s="11" t="s">
        <v>114</v>
      </c>
      <c r="K11" s="11" t="s">
        <v>115</v>
      </c>
      <c r="L11" s="11"/>
      <c r="M11" s="12"/>
      <c r="N11" s="12"/>
    </row>
    <row r="12" customFormat="false" ht="23.25" hidden="false" customHeight="true" outlineLevel="0" collapsed="false">
      <c r="A12" s="11" t="n">
        <v>11</v>
      </c>
      <c r="B12" s="11" t="s">
        <v>53</v>
      </c>
      <c r="C12" s="11" t="s">
        <v>116</v>
      </c>
      <c r="D12" s="11" t="s">
        <v>117</v>
      </c>
      <c r="E12" s="11" t="s">
        <v>118</v>
      </c>
      <c r="F12" s="11" t="s">
        <v>57</v>
      </c>
      <c r="G12" s="11" t="s">
        <v>66</v>
      </c>
      <c r="H12" s="11" t="s">
        <v>119</v>
      </c>
      <c r="I12" s="11" t="s">
        <v>8</v>
      </c>
      <c r="J12" s="11" t="s">
        <v>120</v>
      </c>
      <c r="K12" s="11" t="s">
        <v>74</v>
      </c>
      <c r="L12" s="11"/>
      <c r="M12" s="12"/>
      <c r="N12" s="12"/>
    </row>
    <row r="13" customFormat="false" ht="45.75" hidden="false" customHeight="true" outlineLevel="0" collapsed="false">
      <c r="A13" s="11" t="n">
        <v>12</v>
      </c>
      <c r="B13" s="11" t="s">
        <v>53</v>
      </c>
      <c r="C13" s="11" t="s">
        <v>121</v>
      </c>
      <c r="D13" s="11" t="s">
        <v>122</v>
      </c>
      <c r="E13" s="11" t="s">
        <v>123</v>
      </c>
      <c r="F13" s="11" t="s">
        <v>57</v>
      </c>
      <c r="G13" s="11" t="s">
        <v>66</v>
      </c>
      <c r="H13" s="11" t="s">
        <v>124</v>
      </c>
      <c r="I13" s="11" t="s">
        <v>8</v>
      </c>
      <c r="J13" s="11" t="s">
        <v>125</v>
      </c>
      <c r="K13" s="11" t="s">
        <v>115</v>
      </c>
      <c r="L13" s="11"/>
      <c r="M13" s="12"/>
      <c r="N13" s="12"/>
    </row>
    <row r="14" customFormat="false" ht="45.75" hidden="false" customHeight="true" outlineLevel="0" collapsed="false">
      <c r="A14" s="11" t="n">
        <v>13</v>
      </c>
      <c r="B14" s="11" t="s">
        <v>53</v>
      </c>
      <c r="C14" s="11" t="s">
        <v>126</v>
      </c>
      <c r="D14" s="11" t="s">
        <v>127</v>
      </c>
      <c r="E14" s="11" t="s">
        <v>128</v>
      </c>
      <c r="F14" s="11" t="s">
        <v>57</v>
      </c>
      <c r="G14" s="11" t="s">
        <v>66</v>
      </c>
      <c r="H14" s="11" t="s">
        <v>129</v>
      </c>
      <c r="I14" s="11" t="s">
        <v>8</v>
      </c>
      <c r="J14" s="11" t="s">
        <v>130</v>
      </c>
      <c r="K14" s="11" t="s">
        <v>131</v>
      </c>
      <c r="L14" s="11" t="s">
        <v>132</v>
      </c>
      <c r="M14" s="12"/>
      <c r="N14" s="12"/>
    </row>
    <row r="15" customFormat="false" ht="34.5" hidden="false" customHeight="true" outlineLevel="0" collapsed="false">
      <c r="A15" s="11" t="n">
        <v>14</v>
      </c>
      <c r="B15" s="11" t="s">
        <v>53</v>
      </c>
      <c r="C15" s="11" t="s">
        <v>133</v>
      </c>
      <c r="D15" s="11" t="s">
        <v>134</v>
      </c>
      <c r="E15" s="11" t="s">
        <v>135</v>
      </c>
      <c r="F15" s="11" t="s">
        <v>112</v>
      </c>
      <c r="G15" s="11" t="s">
        <v>13</v>
      </c>
      <c r="H15" s="11"/>
      <c r="I15" s="11" t="s">
        <v>13</v>
      </c>
      <c r="J15" s="11" t="s">
        <v>136</v>
      </c>
      <c r="K15" s="11" t="s">
        <v>137</v>
      </c>
      <c r="L15" s="11" t="s">
        <v>138</v>
      </c>
      <c r="M15" s="12"/>
      <c r="N15" s="12"/>
    </row>
    <row r="16" customFormat="false" ht="34.5" hidden="false" customHeight="true" outlineLevel="0" collapsed="false">
      <c r="A16" s="11" t="n">
        <v>15</v>
      </c>
      <c r="B16" s="11" t="s">
        <v>53</v>
      </c>
      <c r="C16" s="11" t="s">
        <v>139</v>
      </c>
      <c r="D16" s="11" t="s">
        <v>140</v>
      </c>
      <c r="E16" s="11" t="s">
        <v>141</v>
      </c>
      <c r="F16" s="11" t="s">
        <v>57</v>
      </c>
      <c r="G16" s="11" t="s">
        <v>66</v>
      </c>
      <c r="H16" s="11" t="s">
        <v>142</v>
      </c>
      <c r="I16" s="11" t="s">
        <v>8</v>
      </c>
      <c r="J16" s="11" t="s">
        <v>143</v>
      </c>
      <c r="K16" s="11" t="s">
        <v>74</v>
      </c>
      <c r="L16" s="11"/>
      <c r="M16" s="12"/>
      <c r="N16" s="12"/>
    </row>
    <row r="17" customFormat="false" ht="34.5" hidden="false" customHeight="true" outlineLevel="0" collapsed="false">
      <c r="A17" s="11" t="n">
        <v>16</v>
      </c>
      <c r="B17" s="11" t="s">
        <v>53</v>
      </c>
      <c r="C17" s="11" t="s">
        <v>144</v>
      </c>
      <c r="D17" s="11" t="s">
        <v>145</v>
      </c>
      <c r="E17" s="11" t="s">
        <v>146</v>
      </c>
      <c r="F17" s="11" t="s">
        <v>57</v>
      </c>
      <c r="G17" s="11" t="s">
        <v>66</v>
      </c>
      <c r="H17" s="11" t="s">
        <v>147</v>
      </c>
      <c r="I17" s="11" t="s">
        <v>8</v>
      </c>
      <c r="J17" s="11" t="s">
        <v>148</v>
      </c>
      <c r="K17" s="11" t="s">
        <v>74</v>
      </c>
      <c r="L17" s="11"/>
      <c r="M17" s="12"/>
      <c r="N17" s="12"/>
    </row>
    <row r="18" customFormat="false" ht="34.5" hidden="false" customHeight="true" outlineLevel="0" collapsed="false">
      <c r="A18" s="11" t="n">
        <v>17</v>
      </c>
      <c r="B18" s="11" t="s">
        <v>53</v>
      </c>
      <c r="C18" s="11" t="s">
        <v>149</v>
      </c>
      <c r="D18" s="11" t="s">
        <v>150</v>
      </c>
      <c r="E18" s="11" t="s">
        <v>151</v>
      </c>
      <c r="F18" s="11" t="s">
        <v>57</v>
      </c>
      <c r="G18" s="11" t="s">
        <v>66</v>
      </c>
      <c r="H18" s="11"/>
      <c r="I18" s="11" t="s">
        <v>8</v>
      </c>
      <c r="J18" s="11" t="s">
        <v>152</v>
      </c>
      <c r="K18" s="11" t="s">
        <v>74</v>
      </c>
      <c r="L18" s="11"/>
      <c r="M18" s="12"/>
      <c r="N18" s="12"/>
    </row>
    <row r="19" customFormat="false" ht="23.25" hidden="false" customHeight="true" outlineLevel="0" collapsed="false">
      <c r="A19" s="11" t="n">
        <v>18</v>
      </c>
      <c r="B19" s="11" t="s">
        <v>53</v>
      </c>
      <c r="C19" s="11" t="s">
        <v>153</v>
      </c>
      <c r="D19" s="11" t="s">
        <v>154</v>
      </c>
      <c r="E19" s="11" t="s">
        <v>155</v>
      </c>
      <c r="F19" s="11" t="s">
        <v>112</v>
      </c>
      <c r="G19" s="11" t="s">
        <v>66</v>
      </c>
      <c r="H19" s="11"/>
      <c r="I19" s="11" t="s">
        <v>8</v>
      </c>
      <c r="J19" s="11" t="s">
        <v>156</v>
      </c>
      <c r="K19" s="11" t="s">
        <v>74</v>
      </c>
      <c r="L19" s="11"/>
      <c r="M19" s="12"/>
      <c r="N19" s="12"/>
    </row>
    <row r="20" customFormat="false" ht="23.25" hidden="false" customHeight="true" outlineLevel="0" collapsed="false">
      <c r="A20" s="11" t="n">
        <v>19</v>
      </c>
      <c r="B20" s="11" t="s">
        <v>53</v>
      </c>
      <c r="C20" s="11" t="s">
        <v>157</v>
      </c>
      <c r="D20" s="11" t="s">
        <v>158</v>
      </c>
      <c r="E20" s="11" t="s">
        <v>159</v>
      </c>
      <c r="F20" s="11" t="s">
        <v>112</v>
      </c>
      <c r="G20" s="11" t="s">
        <v>160</v>
      </c>
      <c r="H20" s="11"/>
      <c r="I20" s="11" t="s">
        <v>13</v>
      </c>
      <c r="J20" s="11" t="s">
        <v>161</v>
      </c>
      <c r="K20" s="11" t="s">
        <v>137</v>
      </c>
      <c r="L20" s="11"/>
      <c r="M20" s="12"/>
      <c r="N20" s="12"/>
    </row>
    <row r="21" customFormat="false" ht="34.5" hidden="false" customHeight="true" outlineLevel="0" collapsed="false">
      <c r="A21" s="11" t="n">
        <v>20</v>
      </c>
      <c r="B21" s="11" t="s">
        <v>53</v>
      </c>
      <c r="C21" s="11" t="s">
        <v>162</v>
      </c>
      <c r="D21" s="11" t="s">
        <v>163</v>
      </c>
      <c r="E21" s="11" t="s">
        <v>164</v>
      </c>
      <c r="F21" s="11" t="s">
        <v>57</v>
      </c>
      <c r="G21" s="11" t="s">
        <v>66</v>
      </c>
      <c r="H21" s="11"/>
      <c r="I21" s="11" t="s">
        <v>8</v>
      </c>
      <c r="J21" s="11" t="s">
        <v>165</v>
      </c>
      <c r="K21" s="11" t="s">
        <v>74</v>
      </c>
      <c r="L21" s="11"/>
      <c r="M21" s="12"/>
      <c r="N21" s="12"/>
    </row>
    <row r="22" customFormat="false" ht="23.25" hidden="false" customHeight="true" outlineLevel="0" collapsed="false">
      <c r="A22" s="11" t="n">
        <v>21</v>
      </c>
      <c r="B22" s="11" t="s">
        <v>166</v>
      </c>
      <c r="C22" s="11" t="s">
        <v>167</v>
      </c>
      <c r="D22" s="11" t="s">
        <v>168</v>
      </c>
      <c r="E22" s="11" t="s">
        <v>169</v>
      </c>
      <c r="F22" s="11"/>
      <c r="G22" s="11" t="s">
        <v>66</v>
      </c>
      <c r="H22" s="11"/>
      <c r="I22" s="11" t="s">
        <v>8</v>
      </c>
      <c r="J22" s="11" t="s">
        <v>170</v>
      </c>
      <c r="K22" s="11" t="s">
        <v>171</v>
      </c>
      <c r="L22" s="11"/>
      <c r="M22" s="12"/>
      <c r="N22" s="12"/>
    </row>
    <row r="23" customFormat="false" ht="23.25" hidden="false" customHeight="true" outlineLevel="0" collapsed="false">
      <c r="A23" s="11" t="n">
        <v>22</v>
      </c>
      <c r="B23" s="11" t="s">
        <v>166</v>
      </c>
      <c r="C23" s="11" t="s">
        <v>172</v>
      </c>
      <c r="D23" s="11" t="s">
        <v>173</v>
      </c>
      <c r="E23" s="11" t="s">
        <v>174</v>
      </c>
      <c r="F23" s="11"/>
      <c r="G23" s="11" t="s">
        <v>79</v>
      </c>
      <c r="H23" s="11"/>
      <c r="I23" s="11" t="s">
        <v>175</v>
      </c>
      <c r="J23" s="11" t="s">
        <v>176</v>
      </c>
      <c r="K23" s="11" t="s">
        <v>177</v>
      </c>
      <c r="L23" s="11"/>
      <c r="M23" s="12"/>
      <c r="N23" s="12"/>
    </row>
    <row r="24" customFormat="false" ht="34.5" hidden="false" customHeight="true" outlineLevel="0" collapsed="false">
      <c r="A24" s="11" t="n">
        <v>23</v>
      </c>
      <c r="B24" s="11" t="s">
        <v>166</v>
      </c>
      <c r="C24" s="11" t="s">
        <v>178</v>
      </c>
      <c r="D24" s="11" t="s">
        <v>179</v>
      </c>
      <c r="E24" s="11" t="s">
        <v>180</v>
      </c>
      <c r="F24" s="11"/>
      <c r="G24" s="11" t="s">
        <v>66</v>
      </c>
      <c r="H24" s="11"/>
      <c r="I24" s="11" t="s">
        <v>8</v>
      </c>
      <c r="J24" s="11" t="s">
        <v>181</v>
      </c>
      <c r="K24" s="11" t="s">
        <v>182</v>
      </c>
      <c r="L24" s="11"/>
      <c r="M24" s="12"/>
      <c r="N24" s="12"/>
    </row>
    <row r="25" customFormat="false" ht="23.25" hidden="false" customHeight="true" outlineLevel="0" collapsed="false">
      <c r="A25" s="11" t="n">
        <v>24</v>
      </c>
      <c r="B25" s="11" t="s">
        <v>166</v>
      </c>
      <c r="C25" s="11" t="s">
        <v>183</v>
      </c>
      <c r="D25" s="11" t="s">
        <v>184</v>
      </c>
      <c r="E25" s="11" t="s">
        <v>185</v>
      </c>
      <c r="F25" s="11"/>
      <c r="G25" s="11" t="s">
        <v>66</v>
      </c>
      <c r="H25" s="11"/>
      <c r="I25" s="11" t="s">
        <v>8</v>
      </c>
      <c r="J25" s="11" t="s">
        <v>186</v>
      </c>
      <c r="K25" s="11" t="s">
        <v>115</v>
      </c>
      <c r="L25" s="11"/>
      <c r="M25" s="12"/>
      <c r="N25" s="12"/>
    </row>
    <row r="26" customFormat="false" ht="23.25" hidden="false" customHeight="true" outlineLevel="0" collapsed="false">
      <c r="A26" s="11" t="n">
        <v>25</v>
      </c>
      <c r="B26" s="11" t="s">
        <v>166</v>
      </c>
      <c r="C26" s="11" t="s">
        <v>187</v>
      </c>
      <c r="D26" s="11" t="s">
        <v>188</v>
      </c>
      <c r="E26" s="11" t="s">
        <v>189</v>
      </c>
      <c r="F26" s="11"/>
      <c r="G26" s="11" t="s">
        <v>66</v>
      </c>
      <c r="H26" s="11" t="s">
        <v>190</v>
      </c>
      <c r="I26" s="11" t="s">
        <v>8</v>
      </c>
      <c r="J26" s="11" t="s">
        <v>191</v>
      </c>
      <c r="K26" s="11" t="s">
        <v>74</v>
      </c>
      <c r="L26" s="11"/>
      <c r="M26" s="12"/>
      <c r="N26" s="12"/>
    </row>
    <row r="27" customFormat="false" ht="23.25" hidden="false" customHeight="true" outlineLevel="0" collapsed="false">
      <c r="A27" s="11" t="n">
        <v>26</v>
      </c>
      <c r="B27" s="11" t="s">
        <v>166</v>
      </c>
      <c r="C27" s="11" t="s">
        <v>192</v>
      </c>
      <c r="D27" s="11" t="s">
        <v>193</v>
      </c>
      <c r="E27" s="11" t="s">
        <v>194</v>
      </c>
      <c r="F27" s="11"/>
      <c r="G27" s="11" t="s">
        <v>66</v>
      </c>
      <c r="H27" s="11" t="s">
        <v>195</v>
      </c>
      <c r="I27" s="11" t="s">
        <v>8</v>
      </c>
      <c r="J27" s="11" t="s">
        <v>196</v>
      </c>
      <c r="K27" s="11" t="s">
        <v>74</v>
      </c>
      <c r="L27" s="11"/>
      <c r="M27" s="12"/>
      <c r="N27" s="12"/>
    </row>
    <row r="28" customFormat="false" ht="23.25" hidden="false" customHeight="true" outlineLevel="0" collapsed="false">
      <c r="A28" s="11" t="n">
        <v>27</v>
      </c>
      <c r="B28" s="11" t="s">
        <v>166</v>
      </c>
      <c r="C28" s="11" t="s">
        <v>197</v>
      </c>
      <c r="D28" s="11" t="s">
        <v>198</v>
      </c>
      <c r="E28" s="11" t="s">
        <v>199</v>
      </c>
      <c r="F28" s="11"/>
      <c r="G28" s="11" t="s">
        <v>13</v>
      </c>
      <c r="H28" s="11"/>
      <c r="I28" s="11" t="s">
        <v>13</v>
      </c>
      <c r="J28" s="11" t="s">
        <v>200</v>
      </c>
      <c r="K28" s="11" t="s">
        <v>137</v>
      </c>
      <c r="L28" s="11"/>
      <c r="M28" s="12"/>
      <c r="N28" s="12"/>
    </row>
    <row r="29" customFormat="false" ht="23.25" hidden="false" customHeight="true" outlineLevel="0" collapsed="false">
      <c r="A29" s="11" t="n">
        <v>28</v>
      </c>
      <c r="B29" s="11" t="s">
        <v>166</v>
      </c>
      <c r="C29" s="11" t="s">
        <v>201</v>
      </c>
      <c r="D29" s="11" t="s">
        <v>202</v>
      </c>
      <c r="E29" s="11" t="s">
        <v>203</v>
      </c>
      <c r="F29" s="11"/>
      <c r="G29" s="11" t="s">
        <v>66</v>
      </c>
      <c r="H29" s="11" t="s">
        <v>116</v>
      </c>
      <c r="I29" s="11" t="s">
        <v>204</v>
      </c>
      <c r="J29" s="11" t="s">
        <v>205</v>
      </c>
      <c r="K29" s="11" t="s">
        <v>74</v>
      </c>
      <c r="L29" s="11"/>
      <c r="M29" s="12"/>
      <c r="N29" s="12"/>
    </row>
    <row r="30" customFormat="false" ht="23.25" hidden="false" customHeight="true" outlineLevel="0" collapsed="false">
      <c r="A30" s="11" t="n">
        <v>29</v>
      </c>
      <c r="B30" s="11" t="s">
        <v>166</v>
      </c>
      <c r="C30" s="11" t="s">
        <v>206</v>
      </c>
      <c r="D30" s="11" t="s">
        <v>207</v>
      </c>
      <c r="E30" s="11" t="s">
        <v>208</v>
      </c>
      <c r="F30" s="11"/>
      <c r="G30" s="11" t="s">
        <v>66</v>
      </c>
      <c r="H30" s="11"/>
      <c r="I30" s="11" t="s">
        <v>8</v>
      </c>
      <c r="J30" s="11" t="s">
        <v>209</v>
      </c>
      <c r="K30" s="11" t="s">
        <v>171</v>
      </c>
      <c r="L30" s="11"/>
      <c r="M30" s="12"/>
      <c r="N30" s="12"/>
    </row>
    <row r="31" customFormat="false" ht="23.25" hidden="false" customHeight="true" outlineLevel="0" collapsed="false">
      <c r="A31" s="11" t="n">
        <v>30</v>
      </c>
      <c r="B31" s="11" t="s">
        <v>166</v>
      </c>
      <c r="C31" s="11" t="s">
        <v>210</v>
      </c>
      <c r="D31" s="11" t="s">
        <v>211</v>
      </c>
      <c r="E31" s="11" t="s">
        <v>212</v>
      </c>
      <c r="F31" s="11"/>
      <c r="G31" s="11" t="s">
        <v>13</v>
      </c>
      <c r="H31" s="11"/>
      <c r="I31" s="11" t="s">
        <v>13</v>
      </c>
      <c r="J31" s="11" t="s">
        <v>213</v>
      </c>
      <c r="K31" s="11" t="s">
        <v>137</v>
      </c>
      <c r="L31" s="11"/>
      <c r="M31" s="12"/>
      <c r="N31" s="12"/>
    </row>
    <row r="32" customFormat="false" ht="23.25" hidden="false" customHeight="true" outlineLevel="0" collapsed="false">
      <c r="A32" s="11" t="n">
        <v>31</v>
      </c>
      <c r="B32" s="11" t="s">
        <v>166</v>
      </c>
      <c r="C32" s="11" t="s">
        <v>214</v>
      </c>
      <c r="D32" s="11" t="s">
        <v>215</v>
      </c>
      <c r="E32" s="11" t="s">
        <v>216</v>
      </c>
      <c r="F32" s="11"/>
      <c r="G32" s="11" t="s">
        <v>66</v>
      </c>
      <c r="H32" s="11" t="s">
        <v>63</v>
      </c>
      <c r="I32" s="11" t="s">
        <v>204</v>
      </c>
      <c r="J32" s="11" t="s">
        <v>217</v>
      </c>
      <c r="K32" s="11" t="s">
        <v>68</v>
      </c>
      <c r="L32" s="11"/>
      <c r="M32" s="12"/>
      <c r="N32" s="12"/>
    </row>
    <row r="33" customFormat="false" ht="23.25" hidden="false" customHeight="true" outlineLevel="0" collapsed="false">
      <c r="A33" s="11" t="n">
        <v>32</v>
      </c>
      <c r="B33" s="11" t="s">
        <v>166</v>
      </c>
      <c r="C33" s="11" t="s">
        <v>218</v>
      </c>
      <c r="D33" s="11" t="s">
        <v>96</v>
      </c>
      <c r="E33" s="11" t="s">
        <v>219</v>
      </c>
      <c r="F33" s="11"/>
      <c r="G33" s="11" t="s">
        <v>79</v>
      </c>
      <c r="H33" s="11"/>
      <c r="I33" s="11" t="s">
        <v>220</v>
      </c>
      <c r="J33" s="11" t="s">
        <v>221</v>
      </c>
      <c r="K33" s="11" t="s">
        <v>177</v>
      </c>
      <c r="L33" s="11"/>
      <c r="M33" s="12"/>
      <c r="N33" s="12"/>
    </row>
    <row r="34" customFormat="false" ht="34.5" hidden="false" customHeight="true" outlineLevel="0" collapsed="false">
      <c r="A34" s="11" t="n">
        <v>33</v>
      </c>
      <c r="B34" s="11" t="s">
        <v>166</v>
      </c>
      <c r="C34" s="11" t="s">
        <v>222</v>
      </c>
      <c r="D34" s="11" t="s">
        <v>223</v>
      </c>
      <c r="E34" s="11" t="s">
        <v>224</v>
      </c>
      <c r="F34" s="11"/>
      <c r="G34" s="11" t="s">
        <v>66</v>
      </c>
      <c r="H34" s="11"/>
      <c r="I34" s="11" t="s">
        <v>8</v>
      </c>
      <c r="J34" s="11" t="s">
        <v>225</v>
      </c>
      <c r="K34" s="11" t="s">
        <v>171</v>
      </c>
      <c r="L34" s="11"/>
      <c r="M34" s="12"/>
      <c r="N34" s="12"/>
    </row>
    <row r="35" customFormat="false" ht="34.5" hidden="false" customHeight="true" outlineLevel="0" collapsed="false">
      <c r="A35" s="11" t="n">
        <v>34</v>
      </c>
      <c r="B35" s="11" t="s">
        <v>166</v>
      </c>
      <c r="C35" s="11" t="s">
        <v>226</v>
      </c>
      <c r="D35" s="11" t="s">
        <v>227</v>
      </c>
      <c r="E35" s="11" t="s">
        <v>228</v>
      </c>
      <c r="F35" s="11"/>
      <c r="G35" s="11" t="s">
        <v>66</v>
      </c>
      <c r="H35" s="11" t="s">
        <v>229</v>
      </c>
      <c r="I35" s="11" t="s">
        <v>8</v>
      </c>
      <c r="J35" s="11" t="s">
        <v>230</v>
      </c>
      <c r="K35" s="11" t="s">
        <v>231</v>
      </c>
      <c r="L35" s="11"/>
      <c r="M35" s="12"/>
      <c r="N35" s="12"/>
    </row>
    <row r="36" customFormat="false" ht="34.5" hidden="false" customHeight="true" outlineLevel="0" collapsed="false">
      <c r="A36" s="11" t="n">
        <v>35</v>
      </c>
      <c r="B36" s="11" t="s">
        <v>166</v>
      </c>
      <c r="C36" s="11" t="s">
        <v>232</v>
      </c>
      <c r="D36" s="11" t="s">
        <v>233</v>
      </c>
      <c r="E36" s="11" t="s">
        <v>234</v>
      </c>
      <c r="F36" s="11"/>
      <c r="G36" s="11" t="s">
        <v>66</v>
      </c>
      <c r="H36" s="11" t="s">
        <v>235</v>
      </c>
      <c r="I36" s="11" t="s">
        <v>8</v>
      </c>
      <c r="J36" s="11" t="s">
        <v>236</v>
      </c>
      <c r="K36" s="11" t="s">
        <v>74</v>
      </c>
      <c r="L36" s="11"/>
      <c r="M36" s="12"/>
      <c r="N36" s="12"/>
    </row>
    <row r="37" customFormat="false" ht="34.5" hidden="false" customHeight="true" outlineLevel="0" collapsed="false">
      <c r="A37" s="11" t="n">
        <v>36</v>
      </c>
      <c r="B37" s="11" t="s">
        <v>166</v>
      </c>
      <c r="C37" s="11" t="s">
        <v>237</v>
      </c>
      <c r="D37" s="11" t="s">
        <v>238</v>
      </c>
      <c r="E37" s="11" t="s">
        <v>239</v>
      </c>
      <c r="F37" s="11"/>
      <c r="G37" s="11" t="s">
        <v>160</v>
      </c>
      <c r="H37" s="11"/>
      <c r="I37" s="11" t="s">
        <v>8</v>
      </c>
      <c r="J37" s="11" t="s">
        <v>240</v>
      </c>
      <c r="K37" s="11" t="s">
        <v>171</v>
      </c>
      <c r="L37" s="11"/>
      <c r="M37" s="12"/>
      <c r="N37" s="12"/>
    </row>
    <row r="38" customFormat="false" ht="23.25" hidden="false" customHeight="true" outlineLevel="0" collapsed="false">
      <c r="A38" s="11" t="n">
        <v>37</v>
      </c>
      <c r="B38" s="11" t="s">
        <v>166</v>
      </c>
      <c r="C38" s="11" t="s">
        <v>241</v>
      </c>
      <c r="D38" s="11" t="s">
        <v>242</v>
      </c>
      <c r="E38" s="11" t="s">
        <v>243</v>
      </c>
      <c r="F38" s="11"/>
      <c r="G38" s="11" t="s">
        <v>66</v>
      </c>
      <c r="H38" s="11" t="s">
        <v>192</v>
      </c>
      <c r="I38" s="11" t="s">
        <v>204</v>
      </c>
      <c r="J38" s="11" t="s">
        <v>244</v>
      </c>
      <c r="K38" s="11" t="s">
        <v>74</v>
      </c>
      <c r="L38" s="11"/>
      <c r="M38" s="12"/>
      <c r="N38" s="12"/>
    </row>
    <row r="39" customFormat="false" ht="45.75" hidden="false" customHeight="true" outlineLevel="0" collapsed="false">
      <c r="A39" s="11" t="n">
        <v>38</v>
      </c>
      <c r="B39" s="11" t="s">
        <v>166</v>
      </c>
      <c r="C39" s="11" t="s">
        <v>245</v>
      </c>
      <c r="D39" s="11" t="s">
        <v>246</v>
      </c>
      <c r="E39" s="11" t="s">
        <v>247</v>
      </c>
      <c r="F39" s="11"/>
      <c r="G39" s="11" t="s">
        <v>66</v>
      </c>
      <c r="H39" s="11"/>
      <c r="I39" s="11" t="s">
        <v>8</v>
      </c>
      <c r="J39" s="11" t="s">
        <v>248</v>
      </c>
      <c r="K39" s="11" t="s">
        <v>115</v>
      </c>
      <c r="L39" s="11"/>
      <c r="M39" s="12"/>
      <c r="N39" s="12"/>
    </row>
    <row r="40" customFormat="false" ht="23.25" hidden="false" customHeight="true" outlineLevel="0" collapsed="false">
      <c r="A40" s="11" t="n">
        <v>39</v>
      </c>
      <c r="B40" s="11" t="s">
        <v>166</v>
      </c>
      <c r="C40" s="11" t="s">
        <v>249</v>
      </c>
      <c r="D40" s="11" t="s">
        <v>238</v>
      </c>
      <c r="E40" s="11" t="s">
        <v>250</v>
      </c>
      <c r="F40" s="11"/>
      <c r="G40" s="11" t="s">
        <v>66</v>
      </c>
      <c r="H40" s="11"/>
      <c r="I40" s="11" t="s">
        <v>8</v>
      </c>
      <c r="J40" s="11" t="s">
        <v>251</v>
      </c>
      <c r="K40" s="11" t="s">
        <v>74</v>
      </c>
      <c r="L40" s="11"/>
      <c r="M40" s="12"/>
      <c r="N40" s="12"/>
    </row>
    <row r="41" customFormat="false" ht="23.25" hidden="false" customHeight="true" outlineLevel="0" collapsed="false">
      <c r="A41" s="11" t="n">
        <v>40</v>
      </c>
      <c r="B41" s="11" t="s">
        <v>166</v>
      </c>
      <c r="C41" s="11" t="s">
        <v>252</v>
      </c>
      <c r="D41" s="11" t="s">
        <v>253</v>
      </c>
      <c r="E41" s="11" t="s">
        <v>254</v>
      </c>
      <c r="F41" s="11"/>
      <c r="G41" s="11" t="s">
        <v>66</v>
      </c>
      <c r="H41" s="11"/>
      <c r="I41" s="11" t="s">
        <v>8</v>
      </c>
      <c r="J41" s="11" t="s">
        <v>255</v>
      </c>
      <c r="K41" s="11" t="s">
        <v>171</v>
      </c>
      <c r="L41" s="11"/>
      <c r="M41" s="12"/>
      <c r="N41" s="12"/>
    </row>
    <row r="42" customFormat="false" ht="23.25" hidden="false" customHeight="true" outlineLevel="0" collapsed="false">
      <c r="A42" s="11" t="n">
        <v>41</v>
      </c>
      <c r="B42" s="11" t="s">
        <v>166</v>
      </c>
      <c r="C42" s="11" t="s">
        <v>256</v>
      </c>
      <c r="D42" s="11" t="s">
        <v>257</v>
      </c>
      <c r="E42" s="11" t="s">
        <v>258</v>
      </c>
      <c r="F42" s="11"/>
      <c r="G42" s="11" t="s">
        <v>66</v>
      </c>
      <c r="H42" s="11"/>
      <c r="I42" s="11" t="s">
        <v>8</v>
      </c>
      <c r="J42" s="11" t="s">
        <v>259</v>
      </c>
      <c r="K42" s="11" t="s">
        <v>74</v>
      </c>
      <c r="L42" s="11"/>
      <c r="M42" s="12"/>
      <c r="N42" s="12"/>
    </row>
    <row r="43" customFormat="false" ht="23.25" hidden="false" customHeight="true" outlineLevel="0" collapsed="false">
      <c r="A43" s="11" t="n">
        <v>42</v>
      </c>
      <c r="B43" s="11" t="s">
        <v>166</v>
      </c>
      <c r="C43" s="11" t="s">
        <v>260</v>
      </c>
      <c r="D43" s="11" t="s">
        <v>261</v>
      </c>
      <c r="E43" s="11" t="s">
        <v>262</v>
      </c>
      <c r="F43" s="11"/>
      <c r="G43" s="11" t="s">
        <v>66</v>
      </c>
      <c r="H43" s="11" t="s">
        <v>226</v>
      </c>
      <c r="I43" s="11" t="s">
        <v>8</v>
      </c>
      <c r="J43" s="11" t="s">
        <v>263</v>
      </c>
      <c r="K43" s="11" t="s">
        <v>171</v>
      </c>
      <c r="L43" s="11"/>
      <c r="M43" s="12"/>
      <c r="N43" s="12"/>
    </row>
    <row r="44" customFormat="false" ht="34.5" hidden="false" customHeight="true" outlineLevel="0" collapsed="false">
      <c r="A44" s="11" t="n">
        <v>43</v>
      </c>
      <c r="B44" s="11" t="s">
        <v>166</v>
      </c>
      <c r="C44" s="11" t="s">
        <v>264</v>
      </c>
      <c r="D44" s="11" t="s">
        <v>265</v>
      </c>
      <c r="E44" s="11" t="s">
        <v>266</v>
      </c>
      <c r="F44" s="11"/>
      <c r="G44" s="11" t="s">
        <v>66</v>
      </c>
      <c r="H44" s="11"/>
      <c r="I44" s="11" t="s">
        <v>8</v>
      </c>
      <c r="J44" s="11" t="s">
        <v>267</v>
      </c>
      <c r="K44" s="11" t="s">
        <v>74</v>
      </c>
      <c r="L44" s="11"/>
      <c r="M44" s="12"/>
      <c r="N44" s="12"/>
    </row>
    <row r="45" customFormat="false" ht="34.5" hidden="false" customHeight="true" outlineLevel="0" collapsed="false">
      <c r="A45" s="11" t="n">
        <v>44</v>
      </c>
      <c r="B45" s="11" t="s">
        <v>166</v>
      </c>
      <c r="C45" s="11" t="s">
        <v>268</v>
      </c>
      <c r="D45" s="11" t="s">
        <v>269</v>
      </c>
      <c r="E45" s="11" t="s">
        <v>270</v>
      </c>
      <c r="F45" s="11"/>
      <c r="G45" s="11" t="s">
        <v>66</v>
      </c>
      <c r="H45" s="11"/>
      <c r="I45" s="11" t="s">
        <v>8</v>
      </c>
      <c r="J45" s="11" t="s">
        <v>271</v>
      </c>
      <c r="K45" s="11" t="s">
        <v>272</v>
      </c>
      <c r="L45" s="11"/>
      <c r="M45" s="12"/>
      <c r="N45" s="12"/>
    </row>
    <row r="46" customFormat="false" ht="34.5" hidden="false" customHeight="true" outlineLevel="0" collapsed="false">
      <c r="A46" s="11" t="n">
        <v>45</v>
      </c>
      <c r="B46" s="11" t="s">
        <v>166</v>
      </c>
      <c r="C46" s="11" t="s">
        <v>273</v>
      </c>
      <c r="D46" s="11" t="s">
        <v>274</v>
      </c>
      <c r="E46" s="11" t="s">
        <v>275</v>
      </c>
      <c r="F46" s="11"/>
      <c r="G46" s="11" t="s">
        <v>66</v>
      </c>
      <c r="H46" s="11" t="s">
        <v>276</v>
      </c>
      <c r="I46" s="11" t="s">
        <v>8</v>
      </c>
      <c r="J46" s="11" t="s">
        <v>277</v>
      </c>
      <c r="K46" s="11" t="s">
        <v>115</v>
      </c>
      <c r="L46" s="11"/>
      <c r="M46" s="12"/>
      <c r="N46" s="12"/>
    </row>
    <row r="47" customFormat="false" ht="23.25" hidden="false" customHeight="true" outlineLevel="0" collapsed="false">
      <c r="A47" s="11" t="n">
        <v>46</v>
      </c>
      <c r="B47" s="11" t="s">
        <v>166</v>
      </c>
      <c r="C47" s="11" t="s">
        <v>278</v>
      </c>
      <c r="D47" s="11" t="s">
        <v>279</v>
      </c>
      <c r="E47" s="11" t="s">
        <v>280</v>
      </c>
      <c r="F47" s="11"/>
      <c r="G47" s="11" t="s">
        <v>66</v>
      </c>
      <c r="H47" s="11" t="s">
        <v>281</v>
      </c>
      <c r="I47" s="11" t="s">
        <v>8</v>
      </c>
      <c r="J47" s="11" t="s">
        <v>282</v>
      </c>
      <c r="K47" s="11" t="s">
        <v>171</v>
      </c>
      <c r="L47" s="11"/>
      <c r="M47" s="12"/>
      <c r="N47" s="12"/>
    </row>
    <row r="48" customFormat="false" ht="23.25" hidden="false" customHeight="true" outlineLevel="0" collapsed="false">
      <c r="A48" s="11" t="n">
        <v>47</v>
      </c>
      <c r="B48" s="11" t="s">
        <v>166</v>
      </c>
      <c r="C48" s="11" t="s">
        <v>283</v>
      </c>
      <c r="D48" s="11" t="s">
        <v>284</v>
      </c>
      <c r="E48" s="11" t="s">
        <v>285</v>
      </c>
      <c r="F48" s="11"/>
      <c r="G48" s="11" t="s">
        <v>66</v>
      </c>
      <c r="H48" s="11" t="s">
        <v>286</v>
      </c>
      <c r="I48" s="11" t="s">
        <v>8</v>
      </c>
      <c r="J48" s="11" t="s">
        <v>287</v>
      </c>
      <c r="K48" s="11" t="s">
        <v>115</v>
      </c>
      <c r="L48" s="11"/>
      <c r="M48" s="12"/>
      <c r="N48" s="12"/>
    </row>
    <row r="49" customFormat="false" ht="23.25" hidden="false" customHeight="true" outlineLevel="0" collapsed="false">
      <c r="A49" s="11" t="n">
        <v>48</v>
      </c>
      <c r="B49" s="11" t="s">
        <v>166</v>
      </c>
      <c r="C49" s="11" t="s">
        <v>288</v>
      </c>
      <c r="D49" s="11" t="s">
        <v>289</v>
      </c>
      <c r="E49" s="11" t="s">
        <v>290</v>
      </c>
      <c r="F49" s="11"/>
      <c r="G49" s="11" t="s">
        <v>66</v>
      </c>
      <c r="H49" s="11"/>
      <c r="I49" s="11" t="s">
        <v>8</v>
      </c>
      <c r="J49" s="11" t="s">
        <v>291</v>
      </c>
      <c r="K49" s="11" t="s">
        <v>74</v>
      </c>
      <c r="L49" s="11"/>
      <c r="M49" s="12"/>
      <c r="N49" s="12"/>
    </row>
    <row r="50" customFormat="false" ht="23.25" hidden="false" customHeight="true" outlineLevel="0" collapsed="false">
      <c r="A50" s="11" t="n">
        <v>49</v>
      </c>
      <c r="B50" s="11" t="s">
        <v>166</v>
      </c>
      <c r="C50" s="11" t="s">
        <v>292</v>
      </c>
      <c r="D50" s="11" t="s">
        <v>85</v>
      </c>
      <c r="E50" s="11" t="s">
        <v>293</v>
      </c>
      <c r="F50" s="11"/>
      <c r="G50" s="11" t="s">
        <v>160</v>
      </c>
      <c r="H50" s="11"/>
      <c r="I50" s="11" t="s">
        <v>13</v>
      </c>
      <c r="J50" s="11" t="s">
        <v>294</v>
      </c>
      <c r="K50" s="11" t="s">
        <v>137</v>
      </c>
      <c r="L50" s="11"/>
      <c r="M50" s="12"/>
      <c r="N50" s="12"/>
    </row>
    <row r="51" customFormat="false" ht="23.25" hidden="false" customHeight="true" outlineLevel="0" collapsed="false">
      <c r="A51" s="11" t="n">
        <v>50</v>
      </c>
      <c r="B51" s="11" t="s">
        <v>166</v>
      </c>
      <c r="C51" s="11" t="s">
        <v>295</v>
      </c>
      <c r="D51" s="11" t="s">
        <v>85</v>
      </c>
      <c r="E51" s="11" t="s">
        <v>296</v>
      </c>
      <c r="F51" s="11"/>
      <c r="G51" s="11" t="s">
        <v>66</v>
      </c>
      <c r="H51" s="11" t="s">
        <v>84</v>
      </c>
      <c r="I51" s="11" t="s">
        <v>204</v>
      </c>
      <c r="J51" s="11" t="s">
        <v>297</v>
      </c>
      <c r="K51" s="11" t="s">
        <v>74</v>
      </c>
      <c r="L51" s="11"/>
      <c r="M51" s="12"/>
      <c r="N51" s="12"/>
    </row>
    <row r="52" customFormat="false" ht="23.25" hidden="false" customHeight="true" outlineLevel="0" collapsed="false">
      <c r="A52" s="11" t="n">
        <v>51</v>
      </c>
      <c r="B52" s="11" t="s">
        <v>166</v>
      </c>
      <c r="C52" s="11" t="s">
        <v>298</v>
      </c>
      <c r="D52" s="11" t="s">
        <v>77</v>
      </c>
      <c r="E52" s="11" t="s">
        <v>299</v>
      </c>
      <c r="F52" s="11"/>
      <c r="G52" s="11" t="s">
        <v>66</v>
      </c>
      <c r="H52" s="11"/>
      <c r="I52" s="11" t="s">
        <v>8</v>
      </c>
      <c r="J52" s="11" t="s">
        <v>300</v>
      </c>
      <c r="K52" s="11" t="s">
        <v>74</v>
      </c>
      <c r="L52" s="11"/>
      <c r="M52" s="12"/>
      <c r="N52" s="12"/>
    </row>
    <row r="53" customFormat="false" ht="23.25" hidden="false" customHeight="true" outlineLevel="0" collapsed="false">
      <c r="A53" s="11" t="n">
        <v>52</v>
      </c>
      <c r="B53" s="11" t="s">
        <v>166</v>
      </c>
      <c r="C53" s="11" t="s">
        <v>301</v>
      </c>
      <c r="D53" s="11" t="s">
        <v>302</v>
      </c>
      <c r="E53" s="11" t="s">
        <v>303</v>
      </c>
      <c r="F53" s="11"/>
      <c r="G53" s="11" t="s">
        <v>66</v>
      </c>
      <c r="H53" s="11" t="s">
        <v>121</v>
      </c>
      <c r="I53" s="11" t="s">
        <v>204</v>
      </c>
      <c r="J53" s="11" t="s">
        <v>304</v>
      </c>
      <c r="K53" s="11" t="s">
        <v>115</v>
      </c>
      <c r="L53" s="11"/>
      <c r="M53" s="12"/>
      <c r="N53" s="12"/>
    </row>
    <row r="54" customFormat="false" ht="23.25" hidden="false" customHeight="true" outlineLevel="0" collapsed="false">
      <c r="A54" s="11" t="n">
        <v>53</v>
      </c>
      <c r="B54" s="11" t="s">
        <v>166</v>
      </c>
      <c r="C54" s="11" t="s">
        <v>142</v>
      </c>
      <c r="D54" s="11" t="s">
        <v>140</v>
      </c>
      <c r="E54" s="11" t="s">
        <v>305</v>
      </c>
      <c r="F54" s="11"/>
      <c r="G54" s="11" t="s">
        <v>66</v>
      </c>
      <c r="H54" s="11" t="s">
        <v>139</v>
      </c>
      <c r="I54" s="11" t="s">
        <v>204</v>
      </c>
      <c r="J54" s="11" t="s">
        <v>306</v>
      </c>
      <c r="K54" s="11" t="s">
        <v>74</v>
      </c>
      <c r="L54" s="11"/>
      <c r="M54" s="12"/>
      <c r="N54" s="12"/>
    </row>
    <row r="55" customFormat="false" ht="23.25" hidden="false" customHeight="true" outlineLevel="0" collapsed="false">
      <c r="A55" s="11" t="n">
        <v>54</v>
      </c>
      <c r="B55" s="11" t="s">
        <v>166</v>
      </c>
      <c r="C55" s="11" t="s">
        <v>147</v>
      </c>
      <c r="D55" s="11" t="s">
        <v>145</v>
      </c>
      <c r="E55" s="11" t="s">
        <v>307</v>
      </c>
      <c r="F55" s="11"/>
      <c r="G55" s="11" t="s">
        <v>66</v>
      </c>
      <c r="H55" s="11" t="s">
        <v>144</v>
      </c>
      <c r="I55" s="11" t="s">
        <v>204</v>
      </c>
      <c r="J55" s="11" t="s">
        <v>308</v>
      </c>
      <c r="K55" s="11" t="s">
        <v>74</v>
      </c>
      <c r="L55" s="11"/>
      <c r="M55" s="12"/>
      <c r="N55" s="12"/>
    </row>
    <row r="56" customFormat="false" ht="23.25" hidden="false" customHeight="true" outlineLevel="0" collapsed="false">
      <c r="A56" s="11" t="n">
        <v>55</v>
      </c>
      <c r="B56" s="11" t="s">
        <v>166</v>
      </c>
      <c r="C56" s="11" t="s">
        <v>309</v>
      </c>
      <c r="D56" s="11" t="s">
        <v>310</v>
      </c>
      <c r="E56" s="11" t="s">
        <v>311</v>
      </c>
      <c r="F56" s="11"/>
      <c r="G56" s="11" t="s">
        <v>66</v>
      </c>
      <c r="H56" s="11"/>
      <c r="I56" s="11" t="s">
        <v>8</v>
      </c>
      <c r="J56" s="11" t="s">
        <v>312</v>
      </c>
      <c r="K56" s="11" t="s">
        <v>74</v>
      </c>
      <c r="L56" s="11"/>
      <c r="M56" s="12"/>
      <c r="N56" s="12"/>
    </row>
    <row r="57" customFormat="false" ht="34.5" hidden="false" customHeight="true" outlineLevel="0" collapsed="false">
      <c r="A57" s="11" t="n">
        <v>56</v>
      </c>
      <c r="B57" s="11" t="s">
        <v>166</v>
      </c>
      <c r="C57" s="11" t="s">
        <v>313</v>
      </c>
      <c r="D57" s="11" t="s">
        <v>314</v>
      </c>
      <c r="E57" s="11" t="s">
        <v>315</v>
      </c>
      <c r="F57" s="11"/>
      <c r="G57" s="11" t="s">
        <v>160</v>
      </c>
      <c r="H57" s="11"/>
      <c r="I57" s="11" t="s">
        <v>316</v>
      </c>
      <c r="J57" s="11" t="s">
        <v>317</v>
      </c>
      <c r="K57" s="11" t="s">
        <v>74</v>
      </c>
      <c r="L57" s="11" t="s">
        <v>318</v>
      </c>
      <c r="M57" s="12"/>
      <c r="N57" s="12"/>
    </row>
    <row r="58" customFormat="false" ht="34.5" hidden="false" customHeight="true" outlineLevel="0" collapsed="false">
      <c r="A58" s="11" t="n">
        <v>57</v>
      </c>
      <c r="B58" s="11" t="s">
        <v>166</v>
      </c>
      <c r="C58" s="11" t="s">
        <v>319</v>
      </c>
      <c r="D58" s="11" t="s">
        <v>320</v>
      </c>
      <c r="E58" s="11" t="s">
        <v>321</v>
      </c>
      <c r="F58" s="11"/>
      <c r="G58" s="11" t="s">
        <v>66</v>
      </c>
      <c r="H58" s="11"/>
      <c r="I58" s="11" t="s">
        <v>8</v>
      </c>
      <c r="J58" s="11" t="s">
        <v>322</v>
      </c>
      <c r="K58" s="11" t="s">
        <v>74</v>
      </c>
      <c r="L58" s="11"/>
      <c r="M58" s="12"/>
      <c r="N58" s="12"/>
    </row>
    <row r="59" customFormat="false" ht="34.5" hidden="false" customHeight="true" outlineLevel="0" collapsed="false">
      <c r="A59" s="11" t="n">
        <v>58</v>
      </c>
      <c r="B59" s="11" t="s">
        <v>166</v>
      </c>
      <c r="C59" s="11" t="s">
        <v>323</v>
      </c>
      <c r="D59" s="11" t="s">
        <v>324</v>
      </c>
      <c r="E59" s="11" t="s">
        <v>325</v>
      </c>
      <c r="F59" s="11"/>
      <c r="G59" s="11" t="s">
        <v>66</v>
      </c>
      <c r="H59" s="11"/>
      <c r="I59" s="11" t="s">
        <v>8</v>
      </c>
      <c r="J59" s="11" t="s">
        <v>326</v>
      </c>
      <c r="K59" s="11" t="s">
        <v>171</v>
      </c>
      <c r="L59" s="11"/>
      <c r="M59" s="12"/>
      <c r="N59" s="12"/>
    </row>
    <row r="60" customFormat="false" ht="23.25" hidden="false" customHeight="true" outlineLevel="0" collapsed="false">
      <c r="A60" s="11" t="n">
        <v>59</v>
      </c>
      <c r="B60" s="11" t="s">
        <v>166</v>
      </c>
      <c r="C60" s="11" t="s">
        <v>327</v>
      </c>
      <c r="D60" s="11" t="s">
        <v>127</v>
      </c>
      <c r="E60" s="11" t="s">
        <v>328</v>
      </c>
      <c r="F60" s="11"/>
      <c r="G60" s="11" t="s">
        <v>66</v>
      </c>
      <c r="H60" s="11" t="s">
        <v>126</v>
      </c>
      <c r="I60" s="11" t="s">
        <v>204</v>
      </c>
      <c r="J60" s="11" t="s">
        <v>329</v>
      </c>
      <c r="K60" s="11" t="s">
        <v>131</v>
      </c>
      <c r="L60" s="11"/>
      <c r="M60" s="12"/>
      <c r="N60" s="12"/>
    </row>
    <row r="61" customFormat="false" ht="23.25" hidden="false" customHeight="true" outlineLevel="0" collapsed="false">
      <c r="A61" s="11" t="n">
        <v>60</v>
      </c>
      <c r="B61" s="11" t="s">
        <v>166</v>
      </c>
      <c r="C61" s="11" t="s">
        <v>330</v>
      </c>
      <c r="D61" s="11" t="s">
        <v>127</v>
      </c>
      <c r="E61" s="11" t="s">
        <v>331</v>
      </c>
      <c r="F61" s="11"/>
      <c r="G61" s="11" t="s">
        <v>66</v>
      </c>
      <c r="H61" s="11" t="s">
        <v>126</v>
      </c>
      <c r="I61" s="11" t="s">
        <v>8</v>
      </c>
      <c r="J61" s="11" t="s">
        <v>332</v>
      </c>
      <c r="K61" s="11" t="s">
        <v>131</v>
      </c>
      <c r="L61" s="11"/>
      <c r="M61" s="12"/>
      <c r="N61" s="12"/>
    </row>
    <row r="62" customFormat="false" ht="23.25" hidden="false" customHeight="true" outlineLevel="0" collapsed="false">
      <c r="A62" s="11" t="n">
        <v>61</v>
      </c>
      <c r="B62" s="11" t="s">
        <v>166</v>
      </c>
      <c r="C62" s="11" t="s">
        <v>333</v>
      </c>
      <c r="D62" s="11" t="s">
        <v>127</v>
      </c>
      <c r="E62" s="11" t="s">
        <v>334</v>
      </c>
      <c r="F62" s="11"/>
      <c r="G62" s="11" t="s">
        <v>66</v>
      </c>
      <c r="H62" s="11" t="s">
        <v>226</v>
      </c>
      <c r="I62" s="11" t="s">
        <v>8</v>
      </c>
      <c r="J62" s="11" t="s">
        <v>335</v>
      </c>
      <c r="K62" s="11" t="s">
        <v>74</v>
      </c>
      <c r="L62" s="11"/>
      <c r="M62" s="12"/>
      <c r="N62" s="12"/>
    </row>
    <row r="63" customFormat="false" ht="23.25" hidden="false" customHeight="true" outlineLevel="0" collapsed="false">
      <c r="A63" s="11" t="n">
        <v>62</v>
      </c>
      <c r="B63" s="11" t="s">
        <v>166</v>
      </c>
      <c r="C63" s="11" t="s">
        <v>336</v>
      </c>
      <c r="D63" s="11" t="s">
        <v>337</v>
      </c>
      <c r="E63" s="11" t="s">
        <v>338</v>
      </c>
      <c r="F63" s="11"/>
      <c r="G63" s="11" t="s">
        <v>66</v>
      </c>
      <c r="H63" s="11"/>
      <c r="I63" s="11" t="s">
        <v>8</v>
      </c>
      <c r="J63" s="11" t="s">
        <v>339</v>
      </c>
      <c r="K63" s="11" t="s">
        <v>74</v>
      </c>
      <c r="L63" s="11"/>
      <c r="M63" s="12"/>
      <c r="N63" s="12"/>
    </row>
    <row r="64" customFormat="false" ht="23.25" hidden="false" customHeight="true" outlineLevel="0" collapsed="false">
      <c r="A64" s="11" t="n">
        <v>63</v>
      </c>
      <c r="B64" s="11" t="s">
        <v>166</v>
      </c>
      <c r="C64" s="11" t="s">
        <v>340</v>
      </c>
      <c r="D64" s="11" t="s">
        <v>341</v>
      </c>
      <c r="E64" s="11" t="s">
        <v>342</v>
      </c>
      <c r="F64" s="11"/>
      <c r="G64" s="11" t="s">
        <v>66</v>
      </c>
      <c r="H64" s="11"/>
      <c r="I64" s="11" t="s">
        <v>8</v>
      </c>
      <c r="J64" s="11" t="s">
        <v>343</v>
      </c>
      <c r="K64" s="11" t="s">
        <v>74</v>
      </c>
      <c r="L64" s="11"/>
      <c r="M64" s="12"/>
      <c r="N64" s="12"/>
    </row>
    <row r="65" customFormat="false" ht="23.25" hidden="false" customHeight="true" outlineLevel="0" collapsed="false">
      <c r="A65" s="11" t="n">
        <v>64</v>
      </c>
      <c r="B65" s="11" t="s">
        <v>166</v>
      </c>
      <c r="C65" s="11" t="s">
        <v>344</v>
      </c>
      <c r="D65" s="11" t="s">
        <v>345</v>
      </c>
      <c r="E65" s="11" t="s">
        <v>346</v>
      </c>
      <c r="F65" s="11"/>
      <c r="G65" s="11" t="s">
        <v>66</v>
      </c>
      <c r="H65" s="11"/>
      <c r="I65" s="11" t="s">
        <v>8</v>
      </c>
      <c r="J65" s="11" t="s">
        <v>347</v>
      </c>
      <c r="K65" s="11" t="s">
        <v>74</v>
      </c>
      <c r="L65" s="11"/>
      <c r="M65" s="12"/>
      <c r="N65" s="12"/>
    </row>
    <row r="66" customFormat="false" ht="23.25" hidden="false" customHeight="true" outlineLevel="0" collapsed="false">
      <c r="A66" s="11" t="n">
        <v>65</v>
      </c>
      <c r="B66" s="11" t="s">
        <v>166</v>
      </c>
      <c r="C66" s="11" t="s">
        <v>348</v>
      </c>
      <c r="D66" s="11" t="s">
        <v>345</v>
      </c>
      <c r="E66" s="11" t="s">
        <v>349</v>
      </c>
      <c r="F66" s="11"/>
      <c r="G66" s="11" t="s">
        <v>66</v>
      </c>
      <c r="H66" s="11"/>
      <c r="I66" s="11" t="s">
        <v>8</v>
      </c>
      <c r="J66" s="11" t="s">
        <v>350</v>
      </c>
      <c r="K66" s="11" t="s">
        <v>171</v>
      </c>
      <c r="L66" s="11"/>
      <c r="M66" s="12"/>
      <c r="N66" s="12"/>
    </row>
    <row r="67" customFormat="false" ht="23.25" hidden="false" customHeight="true" outlineLevel="0" collapsed="false">
      <c r="A67" s="11" t="n">
        <v>66</v>
      </c>
      <c r="B67" s="11" t="s">
        <v>166</v>
      </c>
      <c r="C67" s="11" t="s">
        <v>235</v>
      </c>
      <c r="D67" s="11" t="s">
        <v>351</v>
      </c>
      <c r="E67" s="11" t="s">
        <v>352</v>
      </c>
      <c r="F67" s="11"/>
      <c r="G67" s="11" t="s">
        <v>66</v>
      </c>
      <c r="H67" s="11" t="s">
        <v>232</v>
      </c>
      <c r="I67" s="11" t="s">
        <v>204</v>
      </c>
      <c r="J67" s="11" t="s">
        <v>353</v>
      </c>
      <c r="K67" s="11" t="s">
        <v>74</v>
      </c>
      <c r="L67" s="11"/>
      <c r="M67" s="12"/>
      <c r="N67" s="12"/>
    </row>
    <row r="68" customFormat="false" ht="23.25" hidden="false" customHeight="true" outlineLevel="0" collapsed="false">
      <c r="A68" s="11" t="n">
        <v>67</v>
      </c>
      <c r="B68" s="11" t="s">
        <v>166</v>
      </c>
      <c r="C68" s="11" t="s">
        <v>354</v>
      </c>
      <c r="D68" s="11" t="s">
        <v>355</v>
      </c>
      <c r="E68" s="11" t="s">
        <v>356</v>
      </c>
      <c r="F68" s="11"/>
      <c r="G68" s="11" t="s">
        <v>66</v>
      </c>
      <c r="H68" s="11" t="s">
        <v>109</v>
      </c>
      <c r="I68" s="11" t="s">
        <v>8</v>
      </c>
      <c r="J68" s="11" t="s">
        <v>357</v>
      </c>
      <c r="K68" s="11" t="s">
        <v>115</v>
      </c>
      <c r="L68" s="11"/>
      <c r="M68" s="12"/>
      <c r="N68" s="12"/>
    </row>
    <row r="69" customFormat="false" ht="23.25" hidden="false" customHeight="true" outlineLevel="0" collapsed="false">
      <c r="A69" s="11" t="n">
        <v>68</v>
      </c>
      <c r="B69" s="11" t="s">
        <v>166</v>
      </c>
      <c r="C69" s="11" t="s">
        <v>358</v>
      </c>
      <c r="D69" s="11" t="s">
        <v>355</v>
      </c>
      <c r="E69" s="11" t="s">
        <v>359</v>
      </c>
      <c r="F69" s="11"/>
      <c r="G69" s="11" t="s">
        <v>66</v>
      </c>
      <c r="H69" s="11" t="s">
        <v>109</v>
      </c>
      <c r="I69" s="11" t="s">
        <v>204</v>
      </c>
      <c r="J69" s="11" t="s">
        <v>360</v>
      </c>
      <c r="K69" s="11" t="s">
        <v>115</v>
      </c>
      <c r="L69" s="11"/>
      <c r="M69" s="12"/>
      <c r="N69" s="12"/>
    </row>
    <row r="70" customFormat="false" ht="23.25" hidden="false" customHeight="true" outlineLevel="0" collapsed="false">
      <c r="A70" s="11" t="n">
        <v>69</v>
      </c>
      <c r="B70" s="11" t="s">
        <v>166</v>
      </c>
      <c r="C70" s="11" t="s">
        <v>276</v>
      </c>
      <c r="D70" s="11" t="s">
        <v>361</v>
      </c>
      <c r="E70" s="11" t="s">
        <v>362</v>
      </c>
      <c r="F70" s="11"/>
      <c r="G70" s="11" t="s">
        <v>66</v>
      </c>
      <c r="H70" s="11" t="s">
        <v>273</v>
      </c>
      <c r="I70" s="11" t="s">
        <v>204</v>
      </c>
      <c r="J70" s="11" t="s">
        <v>363</v>
      </c>
      <c r="K70" s="11" t="s">
        <v>115</v>
      </c>
      <c r="L70" s="11"/>
      <c r="M70" s="12"/>
      <c r="N70" s="12"/>
    </row>
    <row r="71" customFormat="false" ht="23.25" hidden="false" customHeight="true" outlineLevel="0" collapsed="false">
      <c r="A71" s="11" t="n">
        <v>70</v>
      </c>
      <c r="B71" s="11" t="s">
        <v>166</v>
      </c>
      <c r="C71" s="11" t="s">
        <v>281</v>
      </c>
      <c r="D71" s="11" t="s">
        <v>274</v>
      </c>
      <c r="E71" s="11" t="s">
        <v>364</v>
      </c>
      <c r="F71" s="11"/>
      <c r="G71" s="11" t="s">
        <v>66</v>
      </c>
      <c r="H71" s="11" t="s">
        <v>278</v>
      </c>
      <c r="I71" s="11" t="s">
        <v>204</v>
      </c>
      <c r="J71" s="11" t="s">
        <v>365</v>
      </c>
      <c r="K71" s="11" t="s">
        <v>171</v>
      </c>
      <c r="L71" s="11"/>
      <c r="M71" s="12"/>
      <c r="N71" s="12"/>
    </row>
    <row r="72" customFormat="false" ht="23.25" hidden="false" customHeight="true" outlineLevel="0" collapsed="false">
      <c r="A72" s="11" t="n">
        <v>71</v>
      </c>
      <c r="B72" s="11" t="s">
        <v>166</v>
      </c>
      <c r="C72" s="11" t="s">
        <v>286</v>
      </c>
      <c r="D72" s="11" t="s">
        <v>284</v>
      </c>
      <c r="E72" s="11" t="s">
        <v>366</v>
      </c>
      <c r="F72" s="11"/>
      <c r="G72" s="11" t="s">
        <v>66</v>
      </c>
      <c r="H72" s="11" t="s">
        <v>283</v>
      </c>
      <c r="I72" s="11" t="s">
        <v>204</v>
      </c>
      <c r="J72" s="11" t="s">
        <v>367</v>
      </c>
      <c r="K72" s="11" t="s">
        <v>115</v>
      </c>
      <c r="L72" s="11"/>
      <c r="M72" s="12"/>
      <c r="N72" s="12"/>
    </row>
    <row r="73" customFormat="false" ht="23.25" hidden="false" customHeight="true" outlineLevel="0" collapsed="false">
      <c r="A73" s="11" t="n">
        <v>72</v>
      </c>
      <c r="B73" s="11" t="s">
        <v>166</v>
      </c>
      <c r="C73" s="11" t="s">
        <v>368</v>
      </c>
      <c r="D73" s="11" t="s">
        <v>369</v>
      </c>
      <c r="E73" s="11" t="s">
        <v>370</v>
      </c>
      <c r="F73" s="11"/>
      <c r="G73" s="11" t="s">
        <v>66</v>
      </c>
      <c r="H73" s="11"/>
      <c r="I73" s="11" t="s">
        <v>8</v>
      </c>
      <c r="J73" s="11" t="s">
        <v>371</v>
      </c>
      <c r="K73" s="11" t="s">
        <v>74</v>
      </c>
      <c r="L73" s="11"/>
      <c r="M73" s="12"/>
      <c r="N73" s="12"/>
    </row>
    <row r="74" customFormat="false" ht="23.25" hidden="false" customHeight="true" outlineLevel="0" collapsed="false">
      <c r="A74" s="11" t="n">
        <v>73</v>
      </c>
      <c r="B74" s="11" t="s">
        <v>166</v>
      </c>
      <c r="C74" s="11" t="s">
        <v>372</v>
      </c>
      <c r="D74" s="11" t="s">
        <v>127</v>
      </c>
      <c r="E74" s="11" t="s">
        <v>373</v>
      </c>
      <c r="F74" s="11"/>
      <c r="G74" s="11" t="s">
        <v>66</v>
      </c>
      <c r="H74" s="11"/>
      <c r="I74" s="11" t="s">
        <v>8</v>
      </c>
      <c r="J74" s="11" t="s">
        <v>374</v>
      </c>
      <c r="K74" s="11" t="s">
        <v>171</v>
      </c>
      <c r="L74" s="11"/>
      <c r="M74" s="12"/>
      <c r="N74" s="12"/>
    </row>
    <row r="75" customFormat="false" ht="23.25" hidden="false" customHeight="true" outlineLevel="0" collapsed="false">
      <c r="A75" s="11" t="n">
        <v>74</v>
      </c>
      <c r="B75" s="11" t="s">
        <v>166</v>
      </c>
      <c r="C75" s="11" t="s">
        <v>375</v>
      </c>
      <c r="D75" s="11" t="s">
        <v>242</v>
      </c>
      <c r="E75" s="11" t="s">
        <v>376</v>
      </c>
      <c r="F75" s="11"/>
      <c r="G75" s="11" t="s">
        <v>66</v>
      </c>
      <c r="H75" s="11" t="s">
        <v>192</v>
      </c>
      <c r="I75" s="11" t="s">
        <v>204</v>
      </c>
      <c r="J75" s="11" t="s">
        <v>244</v>
      </c>
      <c r="K75" s="11" t="s">
        <v>74</v>
      </c>
      <c r="L75" s="11"/>
      <c r="M75" s="12"/>
      <c r="N75" s="12"/>
    </row>
    <row r="76" customFormat="false" ht="23.25" hidden="false" customHeight="true" outlineLevel="0" collapsed="false">
      <c r="A76" s="11" t="n">
        <v>75</v>
      </c>
      <c r="B76" s="11" t="s">
        <v>166</v>
      </c>
      <c r="C76" s="11" t="s">
        <v>377</v>
      </c>
      <c r="D76" s="11" t="s">
        <v>242</v>
      </c>
      <c r="E76" s="11" t="s">
        <v>334</v>
      </c>
      <c r="F76" s="11"/>
      <c r="G76" s="11" t="s">
        <v>66</v>
      </c>
      <c r="H76" s="11" t="s">
        <v>226</v>
      </c>
      <c r="I76" s="11" t="s">
        <v>8</v>
      </c>
      <c r="J76" s="11" t="s">
        <v>378</v>
      </c>
      <c r="K76" s="11" t="s">
        <v>74</v>
      </c>
      <c r="L76" s="11"/>
      <c r="M76" s="12"/>
      <c r="N76" s="12"/>
    </row>
    <row r="77" customFormat="false" ht="23.25" hidden="false" customHeight="true" outlineLevel="0" collapsed="false">
      <c r="A77" s="11" t="n">
        <v>76</v>
      </c>
      <c r="B77" s="11" t="s">
        <v>166</v>
      </c>
      <c r="C77" s="11" t="s">
        <v>190</v>
      </c>
      <c r="D77" s="11" t="s">
        <v>242</v>
      </c>
      <c r="E77" s="11" t="s">
        <v>379</v>
      </c>
      <c r="F77" s="11"/>
      <c r="G77" s="11" t="s">
        <v>66</v>
      </c>
      <c r="H77" s="11" t="s">
        <v>187</v>
      </c>
      <c r="I77" s="11" t="s">
        <v>204</v>
      </c>
      <c r="J77" s="11" t="s">
        <v>380</v>
      </c>
      <c r="K77" s="11" t="s">
        <v>74</v>
      </c>
      <c r="L77" s="11"/>
      <c r="M77" s="12"/>
      <c r="N77" s="12"/>
    </row>
    <row r="78" customFormat="false" ht="23.25" hidden="false" customHeight="true" outlineLevel="0" collapsed="false">
      <c r="A78" s="11" t="n">
        <v>77</v>
      </c>
      <c r="B78" s="11" t="s">
        <v>166</v>
      </c>
      <c r="C78" s="11" t="s">
        <v>381</v>
      </c>
      <c r="D78" s="11" t="s">
        <v>382</v>
      </c>
      <c r="E78" s="11" t="s">
        <v>383</v>
      </c>
      <c r="F78" s="11"/>
      <c r="G78" s="11" t="s">
        <v>66</v>
      </c>
      <c r="H78" s="11" t="s">
        <v>384</v>
      </c>
      <c r="I78" s="11" t="s">
        <v>8</v>
      </c>
      <c r="J78" s="11" t="s">
        <v>385</v>
      </c>
      <c r="K78" s="11" t="s">
        <v>74</v>
      </c>
      <c r="L78" s="11"/>
      <c r="M78" s="12"/>
      <c r="N78" s="12"/>
    </row>
    <row r="79" customFormat="false" ht="23.25" hidden="false" customHeight="true" outlineLevel="0" collapsed="false">
      <c r="A79" s="11" t="n">
        <v>78</v>
      </c>
      <c r="B79" s="11" t="s">
        <v>166</v>
      </c>
      <c r="C79" s="11" t="s">
        <v>386</v>
      </c>
      <c r="D79" s="11" t="s">
        <v>387</v>
      </c>
      <c r="E79" s="11" t="s">
        <v>334</v>
      </c>
      <c r="F79" s="11"/>
      <c r="G79" s="11" t="s">
        <v>66</v>
      </c>
      <c r="H79" s="11" t="s">
        <v>226</v>
      </c>
      <c r="I79" s="11" t="s">
        <v>8</v>
      </c>
      <c r="J79" s="11" t="s">
        <v>388</v>
      </c>
      <c r="K79" s="11" t="s">
        <v>171</v>
      </c>
      <c r="L79" s="11"/>
      <c r="M79" s="12"/>
      <c r="N79" s="12"/>
    </row>
    <row r="80" customFormat="false" ht="23.25" hidden="false" customHeight="true" outlineLevel="0" collapsed="false">
      <c r="A80" s="11" t="n">
        <v>79</v>
      </c>
      <c r="B80" s="11" t="s">
        <v>166</v>
      </c>
      <c r="C80" s="11" t="s">
        <v>384</v>
      </c>
      <c r="D80" s="11" t="s">
        <v>382</v>
      </c>
      <c r="E80" s="11" t="s">
        <v>383</v>
      </c>
      <c r="F80" s="11"/>
      <c r="G80" s="11" t="s">
        <v>66</v>
      </c>
      <c r="H80" s="11" t="s">
        <v>381</v>
      </c>
      <c r="I80" s="11" t="s">
        <v>204</v>
      </c>
      <c r="J80" s="11" t="s">
        <v>389</v>
      </c>
      <c r="K80" s="11" t="s">
        <v>74</v>
      </c>
      <c r="L80" s="11"/>
      <c r="M80" s="12"/>
      <c r="N80" s="12"/>
    </row>
    <row r="81" customFormat="false" ht="34.5" hidden="false" customHeight="true" outlineLevel="0" collapsed="false">
      <c r="A81" s="11" t="n">
        <v>80</v>
      </c>
      <c r="B81" s="11" t="s">
        <v>166</v>
      </c>
      <c r="C81" s="11" t="s">
        <v>390</v>
      </c>
      <c r="D81" s="11" t="s">
        <v>391</v>
      </c>
      <c r="E81" s="11" t="s">
        <v>392</v>
      </c>
      <c r="F81" s="11"/>
      <c r="G81" s="11" t="s">
        <v>66</v>
      </c>
      <c r="H81" s="11"/>
      <c r="I81" s="11" t="s">
        <v>8</v>
      </c>
      <c r="J81" s="11" t="s">
        <v>393</v>
      </c>
      <c r="K81" s="11" t="s">
        <v>74</v>
      </c>
      <c r="L81" s="11"/>
      <c r="M81" s="12"/>
      <c r="N81" s="12"/>
    </row>
    <row r="82" customFormat="false" ht="23.25" hidden="false" customHeight="true" outlineLevel="0" collapsed="false">
      <c r="A82" s="11" t="n">
        <v>81</v>
      </c>
      <c r="B82" s="11" t="s">
        <v>166</v>
      </c>
      <c r="C82" s="11" t="s">
        <v>394</v>
      </c>
      <c r="D82" s="11" t="s">
        <v>391</v>
      </c>
      <c r="E82" s="11" t="s">
        <v>395</v>
      </c>
      <c r="F82" s="11"/>
      <c r="G82" s="11" t="s">
        <v>66</v>
      </c>
      <c r="H82" s="11"/>
      <c r="I82" s="11" t="s">
        <v>8</v>
      </c>
      <c r="J82" s="11" t="s">
        <v>396</v>
      </c>
      <c r="K82" s="11" t="s">
        <v>74</v>
      </c>
      <c r="L82" s="11"/>
      <c r="M82" s="12"/>
      <c r="N82" s="12"/>
    </row>
    <row r="83" customFormat="false" ht="23.25" hidden="false" customHeight="true" outlineLevel="0" collapsed="false">
      <c r="A83" s="11" t="n">
        <v>82</v>
      </c>
      <c r="B83" s="11" t="s">
        <v>166</v>
      </c>
      <c r="C83" s="11" t="s">
        <v>397</v>
      </c>
      <c r="D83" s="11" t="s">
        <v>398</v>
      </c>
      <c r="E83" s="11" t="s">
        <v>399</v>
      </c>
      <c r="F83" s="11"/>
      <c r="G83" s="11" t="s">
        <v>400</v>
      </c>
      <c r="H83" s="11"/>
      <c r="I83" s="11" t="s">
        <v>401</v>
      </c>
      <c r="J83" s="11" t="s">
        <v>402</v>
      </c>
      <c r="K83" s="11" t="s">
        <v>403</v>
      </c>
      <c r="L83" s="11" t="s">
        <v>404</v>
      </c>
      <c r="M83" s="12"/>
      <c r="N83" s="12"/>
    </row>
    <row r="84" customFormat="false" ht="23.25" hidden="false" customHeight="true" outlineLevel="0" collapsed="false">
      <c r="A84" s="11" t="n">
        <v>83</v>
      </c>
      <c r="B84" s="11" t="s">
        <v>166</v>
      </c>
      <c r="C84" s="11" t="s">
        <v>405</v>
      </c>
      <c r="D84" s="11" t="s">
        <v>406</v>
      </c>
      <c r="E84" s="11" t="s">
        <v>407</v>
      </c>
      <c r="F84" s="11"/>
      <c r="G84" s="11" t="s">
        <v>66</v>
      </c>
      <c r="H84" s="11" t="s">
        <v>76</v>
      </c>
      <c r="I84" s="11" t="s">
        <v>204</v>
      </c>
      <c r="J84" s="11" t="s">
        <v>408</v>
      </c>
      <c r="K84" s="11" t="s">
        <v>82</v>
      </c>
      <c r="L84" s="11"/>
      <c r="M84" s="12"/>
      <c r="N84" s="12"/>
    </row>
    <row r="85" customFormat="false" ht="23.25" hidden="false" customHeight="true" outlineLevel="0" collapsed="false">
      <c r="A85" s="11" t="n">
        <v>84</v>
      </c>
      <c r="B85" s="11" t="s">
        <v>166</v>
      </c>
      <c r="C85" s="11" t="s">
        <v>409</v>
      </c>
      <c r="D85" s="11" t="s">
        <v>410</v>
      </c>
      <c r="E85" s="11" t="s">
        <v>411</v>
      </c>
      <c r="F85" s="11"/>
      <c r="G85" s="11" t="s">
        <v>66</v>
      </c>
      <c r="H85" s="11" t="s">
        <v>121</v>
      </c>
      <c r="I85" s="11" t="s">
        <v>204</v>
      </c>
      <c r="J85" s="11" t="s">
        <v>304</v>
      </c>
      <c r="K85" s="11" t="s">
        <v>115</v>
      </c>
      <c r="L85" s="11"/>
      <c r="M85" s="12"/>
      <c r="N85" s="12"/>
    </row>
    <row r="86" customFormat="false" ht="23.25" hidden="false" customHeight="true" outlineLevel="0" collapsed="false">
      <c r="A86" s="11" t="n">
        <v>85</v>
      </c>
      <c r="B86" s="11" t="s">
        <v>166</v>
      </c>
      <c r="C86" s="11" t="s">
        <v>412</v>
      </c>
      <c r="D86" s="11" t="s">
        <v>413</v>
      </c>
      <c r="E86" s="11" t="s">
        <v>414</v>
      </c>
      <c r="F86" s="11"/>
      <c r="G86" s="11" t="s">
        <v>79</v>
      </c>
      <c r="H86" s="11"/>
      <c r="I86" s="11" t="s">
        <v>220</v>
      </c>
      <c r="J86" s="11" t="s">
        <v>415</v>
      </c>
      <c r="K86" s="11" t="s">
        <v>177</v>
      </c>
      <c r="L86" s="11" t="s">
        <v>416</v>
      </c>
      <c r="M86" s="12"/>
      <c r="N86" s="12"/>
    </row>
    <row r="87" customFormat="false" ht="34.5" hidden="false" customHeight="true" outlineLevel="0" collapsed="false">
      <c r="A87" s="11" t="n">
        <v>86</v>
      </c>
      <c r="B87" s="11" t="s">
        <v>166</v>
      </c>
      <c r="C87" s="11" t="s">
        <v>417</v>
      </c>
      <c r="D87" s="11" t="s">
        <v>418</v>
      </c>
      <c r="E87" s="11" t="s">
        <v>419</v>
      </c>
      <c r="F87" s="11"/>
      <c r="G87" s="11" t="s">
        <v>79</v>
      </c>
      <c r="H87" s="11"/>
      <c r="I87" s="11" t="s">
        <v>220</v>
      </c>
      <c r="J87" s="11" t="s">
        <v>420</v>
      </c>
      <c r="K87" s="11" t="s">
        <v>177</v>
      </c>
      <c r="L87" s="11"/>
      <c r="M87" s="12"/>
      <c r="N87" s="12"/>
    </row>
    <row r="88" customFormat="false" ht="23.25" hidden="false" customHeight="true" outlineLevel="0" collapsed="false">
      <c r="A88" s="11" t="n">
        <v>87</v>
      </c>
      <c r="B88" s="11" t="s">
        <v>166</v>
      </c>
      <c r="C88" s="11" t="s">
        <v>421</v>
      </c>
      <c r="D88" s="11" t="s">
        <v>422</v>
      </c>
      <c r="E88" s="11" t="s">
        <v>423</v>
      </c>
      <c r="F88" s="11"/>
      <c r="G88" s="11" t="s">
        <v>66</v>
      </c>
      <c r="H88" s="11" t="s">
        <v>116</v>
      </c>
      <c r="I88" s="11" t="s">
        <v>204</v>
      </c>
      <c r="J88" s="11" t="s">
        <v>205</v>
      </c>
      <c r="K88" s="11" t="s">
        <v>74</v>
      </c>
      <c r="L88" s="11"/>
      <c r="M88" s="12"/>
      <c r="N88" s="12"/>
    </row>
    <row r="89" customFormat="false" ht="23.25" hidden="false" customHeight="true" outlineLevel="0" collapsed="false">
      <c r="A89" s="11" t="n">
        <v>88</v>
      </c>
      <c r="B89" s="11" t="s">
        <v>166</v>
      </c>
      <c r="C89" s="11" t="s">
        <v>424</v>
      </c>
      <c r="D89" s="11" t="s">
        <v>425</v>
      </c>
      <c r="E89" s="11" t="s">
        <v>426</v>
      </c>
      <c r="F89" s="11"/>
      <c r="G89" s="11" t="s">
        <v>66</v>
      </c>
      <c r="H89" s="11" t="s">
        <v>348</v>
      </c>
      <c r="I89" s="11" t="s">
        <v>8</v>
      </c>
      <c r="J89" s="11" t="s">
        <v>427</v>
      </c>
      <c r="K89" s="11" t="s">
        <v>74</v>
      </c>
      <c r="L89" s="11"/>
      <c r="M89" s="12"/>
      <c r="N89" s="12"/>
    </row>
    <row r="90" customFormat="false" ht="34.5" hidden="false" customHeight="true" outlineLevel="0" collapsed="false">
      <c r="A90" s="11" t="n">
        <v>89</v>
      </c>
      <c r="B90" s="11" t="s">
        <v>166</v>
      </c>
      <c r="C90" s="11" t="s">
        <v>428</v>
      </c>
      <c r="D90" s="11" t="s">
        <v>96</v>
      </c>
      <c r="E90" s="11" t="s">
        <v>429</v>
      </c>
      <c r="F90" s="11"/>
      <c r="G90" s="11" t="s">
        <v>66</v>
      </c>
      <c r="H90" s="11"/>
      <c r="I90" s="11" t="s">
        <v>8</v>
      </c>
      <c r="J90" s="11" t="s">
        <v>430</v>
      </c>
      <c r="K90" s="11" t="s">
        <v>74</v>
      </c>
      <c r="L90" s="11"/>
      <c r="M90" s="12"/>
      <c r="N90" s="12"/>
    </row>
    <row r="91" customFormat="false" ht="23.25" hidden="false" customHeight="true" outlineLevel="0" collapsed="false">
      <c r="A91" s="11" t="n">
        <v>90</v>
      </c>
      <c r="B91" s="11" t="s">
        <v>166</v>
      </c>
      <c r="C91" s="11" t="s">
        <v>431</v>
      </c>
      <c r="D91" s="11" t="s">
        <v>96</v>
      </c>
      <c r="E91" s="11" t="s">
        <v>432</v>
      </c>
      <c r="F91" s="11"/>
      <c r="G91" s="11" t="s">
        <v>66</v>
      </c>
      <c r="H91" s="11" t="s">
        <v>428</v>
      </c>
      <c r="I91" s="11" t="s">
        <v>204</v>
      </c>
      <c r="J91" s="11" t="s">
        <v>433</v>
      </c>
      <c r="K91" s="11" t="s">
        <v>74</v>
      </c>
      <c r="L91" s="11"/>
      <c r="M91" s="12"/>
      <c r="N91" s="12"/>
    </row>
    <row r="92" customFormat="false" ht="57" hidden="false" customHeight="true" outlineLevel="0" collapsed="false">
      <c r="A92" s="11" t="n">
        <v>91</v>
      </c>
      <c r="B92" s="11" t="s">
        <v>434</v>
      </c>
      <c r="C92" s="11" t="s">
        <v>435</v>
      </c>
      <c r="D92" s="11" t="s">
        <v>436</v>
      </c>
      <c r="E92" s="11" t="s">
        <v>437</v>
      </c>
      <c r="F92" s="11" t="s">
        <v>57</v>
      </c>
      <c r="G92" s="11" t="s">
        <v>438</v>
      </c>
      <c r="H92" s="11"/>
      <c r="I92" s="11" t="s">
        <v>175</v>
      </c>
      <c r="J92" s="11" t="s">
        <v>439</v>
      </c>
      <c r="K92" s="11" t="s">
        <v>74</v>
      </c>
      <c r="L92" s="11" t="s">
        <v>440</v>
      </c>
      <c r="M92" s="12"/>
      <c r="N92" s="12"/>
    </row>
    <row r="93" customFormat="false" ht="45.75" hidden="false" customHeight="true" outlineLevel="0" collapsed="false">
      <c r="A93" s="11" t="n">
        <v>92</v>
      </c>
      <c r="B93" s="11" t="s">
        <v>434</v>
      </c>
      <c r="C93" s="11" t="s">
        <v>441</v>
      </c>
      <c r="D93" s="11" t="s">
        <v>96</v>
      </c>
      <c r="E93" s="11" t="s">
        <v>442</v>
      </c>
      <c r="F93" s="11" t="s">
        <v>57</v>
      </c>
      <c r="G93" s="11" t="s">
        <v>66</v>
      </c>
      <c r="H93" s="11" t="s">
        <v>218</v>
      </c>
      <c r="I93" s="11" t="s">
        <v>8</v>
      </c>
      <c r="J93" s="11" t="s">
        <v>443</v>
      </c>
      <c r="K93" s="11" t="s">
        <v>444</v>
      </c>
      <c r="L93" s="11" t="s">
        <v>445</v>
      </c>
      <c r="M93" s="12"/>
      <c r="N93" s="12"/>
    </row>
    <row r="94" customFormat="false" ht="57" hidden="false" customHeight="true" outlineLevel="0" collapsed="false">
      <c r="A94" s="11" t="n">
        <v>93</v>
      </c>
      <c r="B94" s="11" t="s">
        <v>434</v>
      </c>
      <c r="C94" s="11" t="s">
        <v>446</v>
      </c>
      <c r="D94" s="11" t="s">
        <v>447</v>
      </c>
      <c r="E94" s="11" t="s">
        <v>448</v>
      </c>
      <c r="F94" s="11" t="s">
        <v>57</v>
      </c>
      <c r="G94" s="11" t="s">
        <v>66</v>
      </c>
      <c r="H94" s="11"/>
      <c r="I94" s="11" t="s">
        <v>8</v>
      </c>
      <c r="J94" s="11" t="s">
        <v>449</v>
      </c>
      <c r="K94" s="11" t="s">
        <v>450</v>
      </c>
      <c r="L94" s="11" t="s">
        <v>451</v>
      </c>
      <c r="M94" s="12"/>
      <c r="N94" s="12"/>
    </row>
    <row r="95" customFormat="false" ht="57" hidden="false" customHeight="true" outlineLevel="0" collapsed="false">
      <c r="A95" s="11" t="n">
        <v>94</v>
      </c>
      <c r="B95" s="11" t="s">
        <v>434</v>
      </c>
      <c r="C95" s="11" t="s">
        <v>452</v>
      </c>
      <c r="D95" s="11" t="s">
        <v>453</v>
      </c>
      <c r="E95" s="11" t="s">
        <v>454</v>
      </c>
      <c r="F95" s="11" t="s">
        <v>57</v>
      </c>
      <c r="G95" s="11" t="s">
        <v>66</v>
      </c>
      <c r="H95" s="11"/>
      <c r="I95" s="11" t="s">
        <v>316</v>
      </c>
      <c r="J95" s="11" t="s">
        <v>455</v>
      </c>
      <c r="K95" s="11" t="s">
        <v>456</v>
      </c>
      <c r="L95" s="11" t="s">
        <v>457</v>
      </c>
      <c r="M95" s="12"/>
      <c r="N95" s="12"/>
    </row>
    <row r="96" customFormat="false" ht="45.75" hidden="false" customHeight="true" outlineLevel="0" collapsed="false">
      <c r="A96" s="11" t="n">
        <v>95</v>
      </c>
      <c r="B96" s="11" t="s">
        <v>434</v>
      </c>
      <c r="C96" s="11" t="s">
        <v>458</v>
      </c>
      <c r="D96" s="11" t="s">
        <v>459</v>
      </c>
      <c r="E96" s="11" t="s">
        <v>460</v>
      </c>
      <c r="F96" s="11" t="s">
        <v>112</v>
      </c>
      <c r="G96" s="11" t="s">
        <v>66</v>
      </c>
      <c r="H96" s="11"/>
      <c r="I96" s="11" t="s">
        <v>8</v>
      </c>
      <c r="J96" s="11" t="s">
        <v>461</v>
      </c>
      <c r="K96" s="11" t="s">
        <v>444</v>
      </c>
      <c r="L96" s="11" t="s">
        <v>462</v>
      </c>
      <c r="M96" s="12"/>
      <c r="N96" s="12"/>
    </row>
    <row r="97" customFormat="false" ht="45.75" hidden="false" customHeight="true" outlineLevel="0" collapsed="false">
      <c r="A97" s="11" t="n">
        <v>96</v>
      </c>
      <c r="B97" s="11" t="s">
        <v>434</v>
      </c>
      <c r="C97" s="11" t="s">
        <v>463</v>
      </c>
      <c r="D97" s="11" t="s">
        <v>464</v>
      </c>
      <c r="E97" s="11" t="s">
        <v>465</v>
      </c>
      <c r="F97" s="11" t="s">
        <v>57</v>
      </c>
      <c r="G97" s="11" t="s">
        <v>66</v>
      </c>
      <c r="H97" s="11"/>
      <c r="I97" s="11" t="s">
        <v>8</v>
      </c>
      <c r="J97" s="11" t="s">
        <v>466</v>
      </c>
      <c r="K97" s="11" t="s">
        <v>467</v>
      </c>
      <c r="L97" s="11" t="s">
        <v>468</v>
      </c>
      <c r="M97" s="12"/>
      <c r="N97" s="12"/>
    </row>
    <row r="98" customFormat="false" ht="57" hidden="false" customHeight="true" outlineLevel="0" collapsed="false">
      <c r="A98" s="11" t="n">
        <v>97</v>
      </c>
      <c r="B98" s="11" t="s">
        <v>434</v>
      </c>
      <c r="C98" s="11" t="s">
        <v>469</v>
      </c>
      <c r="D98" s="11" t="s">
        <v>470</v>
      </c>
      <c r="E98" s="11" t="s">
        <v>471</v>
      </c>
      <c r="F98" s="11" t="s">
        <v>57</v>
      </c>
      <c r="G98" s="11" t="s">
        <v>66</v>
      </c>
      <c r="H98" s="11"/>
      <c r="I98" s="11" t="s">
        <v>8</v>
      </c>
      <c r="J98" s="11" t="s">
        <v>472</v>
      </c>
      <c r="K98" s="11" t="s">
        <v>467</v>
      </c>
      <c r="L98" s="11" t="s">
        <v>473</v>
      </c>
      <c r="M98" s="12"/>
      <c r="N98" s="12"/>
    </row>
    <row r="99" customFormat="false" ht="90.75" hidden="false" customHeight="true" outlineLevel="0" collapsed="false">
      <c r="A99" s="11" t="n">
        <v>98</v>
      </c>
      <c r="B99" s="11" t="s">
        <v>434</v>
      </c>
      <c r="C99" s="11" t="s">
        <v>474</v>
      </c>
      <c r="D99" s="11" t="s">
        <v>475</v>
      </c>
      <c r="E99" s="11" t="s">
        <v>476</v>
      </c>
      <c r="F99" s="11" t="s">
        <v>57</v>
      </c>
      <c r="G99" s="11" t="s">
        <v>66</v>
      </c>
      <c r="H99" s="11" t="s">
        <v>477</v>
      </c>
      <c r="I99" s="11" t="s">
        <v>8</v>
      </c>
      <c r="J99" s="11" t="s">
        <v>478</v>
      </c>
      <c r="K99" s="11" t="s">
        <v>444</v>
      </c>
      <c r="L99" s="11" t="s">
        <v>479</v>
      </c>
      <c r="M99" s="12"/>
      <c r="N99" s="12"/>
    </row>
    <row r="100" customFormat="false" ht="68.25" hidden="false" customHeight="true" outlineLevel="0" collapsed="false">
      <c r="A100" s="11" t="n">
        <v>99</v>
      </c>
      <c r="B100" s="11" t="s">
        <v>434</v>
      </c>
      <c r="C100" s="11" t="s">
        <v>477</v>
      </c>
      <c r="D100" s="11" t="s">
        <v>100</v>
      </c>
      <c r="E100" s="11" t="s">
        <v>480</v>
      </c>
      <c r="F100" s="11" t="s">
        <v>57</v>
      </c>
      <c r="G100" s="11" t="s">
        <v>66</v>
      </c>
      <c r="H100" s="11" t="s">
        <v>474</v>
      </c>
      <c r="I100" s="11" t="s">
        <v>8</v>
      </c>
      <c r="J100" s="11" t="s">
        <v>481</v>
      </c>
      <c r="K100" s="11" t="s">
        <v>444</v>
      </c>
      <c r="L100" s="11" t="s">
        <v>482</v>
      </c>
      <c r="M100" s="12"/>
      <c r="N100" s="12"/>
    </row>
    <row r="101" customFormat="false" ht="45.75" hidden="false" customHeight="true" outlineLevel="0" collapsed="false">
      <c r="A101" s="11" t="n">
        <v>100</v>
      </c>
      <c r="B101" s="11" t="s">
        <v>434</v>
      </c>
      <c r="C101" s="11" t="s">
        <v>483</v>
      </c>
      <c r="D101" s="11" t="s">
        <v>484</v>
      </c>
      <c r="E101" s="11" t="s">
        <v>485</v>
      </c>
      <c r="F101" s="11" t="s">
        <v>112</v>
      </c>
      <c r="G101" s="11" t="s">
        <v>66</v>
      </c>
      <c r="H101" s="11"/>
      <c r="I101" s="11" t="s">
        <v>8</v>
      </c>
      <c r="J101" s="11" t="s">
        <v>486</v>
      </c>
      <c r="K101" s="11" t="s">
        <v>444</v>
      </c>
      <c r="L101" s="11" t="s">
        <v>487</v>
      </c>
      <c r="M101" s="12"/>
      <c r="N101" s="12"/>
    </row>
  </sheetData>
  <autoFilter ref="A1:N101"/>
  <conditionalFormatting sqref="I2:I101">
    <cfRule type="expression" priority="2" aboveAverage="0" equalAverage="0" bottom="0" percent="0" rank="0" text="" dxfId="7">
      <formula>ISNUMBER(SEARCH("Fixed",I2))</formula>
    </cfRule>
    <cfRule type="expression" priority="3" aboveAverage="0" equalAverage="0" bottom="0" percent="0" rank="0" text="" dxfId="8">
      <formula>OR(I2="By design",I2="No change",I2="Duplicate",I2="Already fixed")</formula>
    </cfRule>
    <cfRule type="expression" priority="4" aboveAverage="0" equalAverage="0" bottom="0" percent="0" rank="0" text="" dxfId="9">
      <formula>OR(I2="Open",I2="Changed",I2="Config / hardened",I2="Hardened")</formula>
    </cfRule>
  </conditionalFormatting>
  <conditionalFormatting sqref="M2:M101">
    <cfRule type="expression" priority="5" aboveAverage="0" equalAverage="0" bottom="0" percent="0" rank="0" text="" dxfId="7">
      <formula>M2="Pass"</formula>
    </cfRule>
    <cfRule type="expression" priority="6" aboveAverage="0" equalAverage="0" bottom="0" percent="0" rank="0" text="" dxfId="10">
      <formula>M2="Fail"</formula>
    </cfRule>
  </conditionalFormatting>
  <dataValidations count="1">
    <dataValidation allowBlank="true" errorStyle="stop" operator="between" showDropDown="false" showErrorMessage="false" showInputMessage="false" sqref="M2:M101" type="list">
      <formula1>"Pass,Fail,Blocked,Not retested"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10"/>
  </cols>
  <sheetData>
    <row r="1" customFormat="false" ht="15" hidden="false" customHeight="true" outlineLevel="0" collapsed="false">
      <c r="A1" s="13" t="s">
        <v>488</v>
      </c>
    </row>
    <row r="2" customFormat="false" ht="15" hidden="false" customHeight="true" outlineLevel="0" collapsed="false">
      <c r="A2" s="9" t="s">
        <v>489</v>
      </c>
    </row>
    <row r="3" customFormat="false" ht="23.25" hidden="false" customHeight="true" outlineLevel="0" collapsed="false">
      <c r="A3" s="9" t="s">
        <v>490</v>
      </c>
    </row>
    <row r="4" customFormat="false" ht="23.25" hidden="false" customHeight="true" outlineLevel="0" collapsed="false">
      <c r="A4" s="9" t="s">
        <v>491</v>
      </c>
    </row>
    <row r="5" customFormat="false" ht="23.25" hidden="false" customHeight="true" outlineLevel="0" collapsed="false">
      <c r="A5" s="9" t="s">
        <v>492</v>
      </c>
    </row>
    <row r="6" customFormat="false" ht="15" hidden="false" customHeight="true" outlineLevel="0" collapsed="false">
      <c r="A6" s="9"/>
    </row>
    <row r="7" customFormat="false" ht="15" hidden="false" customHeight="true" outlineLevel="0" collapsed="false">
      <c r="A7" s="13" t="s">
        <v>493</v>
      </c>
    </row>
    <row r="8" customFormat="false" ht="23.25" hidden="false" customHeight="true" outlineLevel="0" collapsed="false">
      <c r="A8" s="9" t="s">
        <v>494</v>
      </c>
    </row>
    <row r="9" customFormat="false" ht="15" hidden="false" customHeight="true" outlineLevel="0" collapsed="false">
      <c r="A9" s="9" t="s">
        <v>495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2026-09-29T07:05:23Z</dcterms:created>
  <dc:creator>openpyxl</dc:creator>
  <dc:description/>
  <dc:language>en-US</dc:language>
  <cp:lastModifiedBy/>
  <dcterms:modified xsi:type="dcterms:W3CDTF">2026-09-29T16:29:39Z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